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ailanshigupta/Downloads/"/>
    </mc:Choice>
  </mc:AlternateContent>
  <xr:revisionPtr revIDLastSave="0" documentId="13_ncr:1_{70D6E5C4-0751-284F-AF3B-4B9B5F8DA8F8}" xr6:coauthVersionLast="47" xr6:coauthVersionMax="47" xr10:uidLastSave="{00000000-0000-0000-0000-000000000000}"/>
  <bookViews>
    <workbookView xWindow="0" yWindow="660" windowWidth="25600" windowHeight="15980" tabRatio="500" activeTab="1" xr2:uid="{00000000-000D-0000-FFFF-FFFF00000000}"/>
  </bookViews>
  <sheets>
    <sheet name="README" sheetId="1" r:id="rId1"/>
    <sheet name="Dashboard" sheetId="2" r:id="rId2"/>
    <sheet name="Assumptions" sheetId="3" r:id="rId3"/>
    <sheet name="Invoice_Recon" sheetId="4" r:id="rId4"/>
    <sheet name="Budget_vs_Actual" sheetId="5" r:id="rId5"/>
    <sheet name="Employee_Access" sheetId="6" r:id="rId6"/>
  </sheets>
  <definedNames>
    <definedName name="_xlnm._FilterDatabase" localSheetId="4" hidden="1">Budget_vs_Actual!$A$4:$G$40</definedName>
    <definedName name="_xlnm._FilterDatabase" localSheetId="3" hidden="1">Invoice_Recon!$A$4:$H$76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6" l="1"/>
  <c r="F13" i="6" s="1"/>
  <c r="D12" i="6"/>
  <c r="F12" i="6" s="1"/>
  <c r="D11" i="6"/>
  <c r="D14" i="6" s="1"/>
  <c r="F10" i="6"/>
  <c r="D10" i="6"/>
  <c r="E10" i="6" s="1"/>
  <c r="F9" i="6"/>
  <c r="D9" i="6"/>
  <c r="E9" i="6" s="1"/>
  <c r="F8" i="6"/>
  <c r="E8" i="6"/>
  <c r="D8" i="6"/>
  <c r="F7" i="6"/>
  <c r="E7" i="6"/>
  <c r="D7" i="6"/>
  <c r="E6" i="6"/>
  <c r="D6" i="6"/>
  <c r="F6" i="6" s="1"/>
  <c r="E5" i="6"/>
  <c r="D5" i="6"/>
  <c r="F5" i="6" s="1"/>
  <c r="F40" i="5"/>
  <c r="G40" i="5" s="1"/>
  <c r="E40" i="5"/>
  <c r="E39" i="5"/>
  <c r="F39" i="5" s="1"/>
  <c r="G39" i="5" s="1"/>
  <c r="E38" i="5"/>
  <c r="F38" i="5" s="1"/>
  <c r="G38" i="5" s="1"/>
  <c r="E37" i="5"/>
  <c r="F37" i="5" s="1"/>
  <c r="G37" i="5" s="1"/>
  <c r="E36" i="5"/>
  <c r="F36" i="5" s="1"/>
  <c r="G36" i="5" s="1"/>
  <c r="G35" i="5"/>
  <c r="F35" i="5"/>
  <c r="E35" i="5"/>
  <c r="G34" i="5"/>
  <c r="F34" i="5"/>
  <c r="E34" i="5"/>
  <c r="G33" i="5"/>
  <c r="F33" i="5"/>
  <c r="E33" i="5"/>
  <c r="F32" i="5"/>
  <c r="G32" i="5" s="1"/>
  <c r="E32" i="5"/>
  <c r="F31" i="5"/>
  <c r="G31" i="5" s="1"/>
  <c r="E31" i="5"/>
  <c r="F30" i="5"/>
  <c r="G30" i="5" s="1"/>
  <c r="E30" i="5"/>
  <c r="E29" i="5"/>
  <c r="F29" i="5" s="1"/>
  <c r="G29" i="5" s="1"/>
  <c r="E28" i="5"/>
  <c r="F28" i="5" s="1"/>
  <c r="G28" i="5" s="1"/>
  <c r="E27" i="5"/>
  <c r="F27" i="5" s="1"/>
  <c r="G27" i="5" s="1"/>
  <c r="E26" i="5"/>
  <c r="F26" i="5" s="1"/>
  <c r="G26" i="5" s="1"/>
  <c r="G25" i="5"/>
  <c r="F25" i="5"/>
  <c r="E25" i="5"/>
  <c r="G24" i="5"/>
  <c r="F24" i="5"/>
  <c r="E24" i="5"/>
  <c r="G23" i="5"/>
  <c r="F23" i="5"/>
  <c r="E23" i="5"/>
  <c r="F22" i="5"/>
  <c r="G22" i="5" s="1"/>
  <c r="E22" i="5"/>
  <c r="F21" i="5"/>
  <c r="G21" i="5" s="1"/>
  <c r="E21" i="5"/>
  <c r="F20" i="5"/>
  <c r="G20" i="5" s="1"/>
  <c r="E20" i="5"/>
  <c r="E19" i="5"/>
  <c r="F19" i="5" s="1"/>
  <c r="G19" i="5" s="1"/>
  <c r="E18" i="5"/>
  <c r="F18" i="5" s="1"/>
  <c r="G18" i="5" s="1"/>
  <c r="E17" i="5"/>
  <c r="F17" i="5" s="1"/>
  <c r="G17" i="5" s="1"/>
  <c r="E16" i="5"/>
  <c r="F16" i="5" s="1"/>
  <c r="G16" i="5" s="1"/>
  <c r="G15" i="5"/>
  <c r="F15" i="5"/>
  <c r="E15" i="5"/>
  <c r="G14" i="5"/>
  <c r="F14" i="5"/>
  <c r="E14" i="5"/>
  <c r="G13" i="5"/>
  <c r="F13" i="5"/>
  <c r="E13" i="5"/>
  <c r="F12" i="5"/>
  <c r="G12" i="5" s="1"/>
  <c r="E12" i="5"/>
  <c r="F11" i="5"/>
  <c r="G11" i="5" s="1"/>
  <c r="E11" i="5"/>
  <c r="F10" i="5"/>
  <c r="G10" i="5" s="1"/>
  <c r="E10" i="5"/>
  <c r="E9" i="5"/>
  <c r="F9" i="5" s="1"/>
  <c r="G9" i="5" s="1"/>
  <c r="E8" i="5"/>
  <c r="F8" i="5" s="1"/>
  <c r="G8" i="5" s="1"/>
  <c r="E7" i="5"/>
  <c r="F7" i="5" s="1"/>
  <c r="G7" i="5" s="1"/>
  <c r="E6" i="5"/>
  <c r="F6" i="5" s="1"/>
  <c r="G6" i="5" s="1"/>
  <c r="G5" i="5"/>
  <c r="F5" i="5"/>
  <c r="E5" i="5"/>
  <c r="H76" i="4"/>
  <c r="G76" i="4"/>
  <c r="F76" i="4"/>
  <c r="H75" i="4"/>
  <c r="G75" i="4"/>
  <c r="F75" i="4"/>
  <c r="G74" i="4"/>
  <c r="H74" i="4" s="1"/>
  <c r="F74" i="4"/>
  <c r="G73" i="4"/>
  <c r="H73" i="4" s="1"/>
  <c r="F73" i="4"/>
  <c r="G72" i="4"/>
  <c r="H72" i="4" s="1"/>
  <c r="F72" i="4"/>
  <c r="F71" i="4"/>
  <c r="G71" i="4" s="1"/>
  <c r="H71" i="4" s="1"/>
  <c r="F70" i="4"/>
  <c r="G70" i="4" s="1"/>
  <c r="H70" i="4" s="1"/>
  <c r="F69" i="4"/>
  <c r="G69" i="4" s="1"/>
  <c r="H69" i="4" s="1"/>
  <c r="F68" i="4"/>
  <c r="G68" i="4" s="1"/>
  <c r="H68" i="4" s="1"/>
  <c r="B26" i="2" s="1"/>
  <c r="H67" i="4"/>
  <c r="G67" i="4"/>
  <c r="F67" i="4"/>
  <c r="H66" i="4"/>
  <c r="G66" i="4"/>
  <c r="F66" i="4"/>
  <c r="H65" i="4"/>
  <c r="G65" i="4"/>
  <c r="F65" i="4"/>
  <c r="G64" i="4"/>
  <c r="H64" i="4" s="1"/>
  <c r="F64" i="4"/>
  <c r="G63" i="4"/>
  <c r="H63" i="4" s="1"/>
  <c r="F63" i="4"/>
  <c r="G62" i="4"/>
  <c r="H62" i="4" s="1"/>
  <c r="F62" i="4"/>
  <c r="F61" i="4"/>
  <c r="G61" i="4" s="1"/>
  <c r="H61" i="4" s="1"/>
  <c r="F60" i="4"/>
  <c r="G60" i="4" s="1"/>
  <c r="H60" i="4" s="1"/>
  <c r="F59" i="4"/>
  <c r="G59" i="4" s="1"/>
  <c r="H59" i="4" s="1"/>
  <c r="F58" i="4"/>
  <c r="G58" i="4" s="1"/>
  <c r="H58" i="4" s="1"/>
  <c r="H57" i="4"/>
  <c r="G57" i="4"/>
  <c r="F57" i="4"/>
  <c r="H56" i="4"/>
  <c r="G56" i="4"/>
  <c r="F56" i="4"/>
  <c r="H55" i="4"/>
  <c r="G55" i="4"/>
  <c r="F55" i="4"/>
  <c r="G54" i="4"/>
  <c r="H54" i="4" s="1"/>
  <c r="F54" i="4"/>
  <c r="G53" i="4"/>
  <c r="H53" i="4" s="1"/>
  <c r="F53" i="4"/>
  <c r="G52" i="4"/>
  <c r="H52" i="4" s="1"/>
  <c r="F52" i="4"/>
  <c r="F51" i="4"/>
  <c r="G51" i="4" s="1"/>
  <c r="H51" i="4" s="1"/>
  <c r="F50" i="4"/>
  <c r="G50" i="4" s="1"/>
  <c r="H50" i="4" s="1"/>
  <c r="F49" i="4"/>
  <c r="G49" i="4" s="1"/>
  <c r="H49" i="4" s="1"/>
  <c r="F48" i="4"/>
  <c r="G48" i="4" s="1"/>
  <c r="H48" i="4" s="1"/>
  <c r="H47" i="4"/>
  <c r="G47" i="4"/>
  <c r="F47" i="4"/>
  <c r="H46" i="4"/>
  <c r="G46" i="4"/>
  <c r="F46" i="4"/>
  <c r="H45" i="4"/>
  <c r="G45" i="4"/>
  <c r="F45" i="4"/>
  <c r="G44" i="4"/>
  <c r="H44" i="4" s="1"/>
  <c r="F44" i="4"/>
  <c r="G43" i="4"/>
  <c r="H43" i="4" s="1"/>
  <c r="F43" i="4"/>
  <c r="G42" i="4"/>
  <c r="H42" i="4" s="1"/>
  <c r="F42" i="4"/>
  <c r="F41" i="4"/>
  <c r="G41" i="4" s="1"/>
  <c r="H41" i="4" s="1"/>
  <c r="F40" i="4"/>
  <c r="G40" i="4" s="1"/>
  <c r="H40" i="4" s="1"/>
  <c r="F39" i="4"/>
  <c r="G39" i="4" s="1"/>
  <c r="H39" i="4" s="1"/>
  <c r="F38" i="4"/>
  <c r="G38" i="4" s="1"/>
  <c r="H38" i="4" s="1"/>
  <c r="H37" i="4"/>
  <c r="G37" i="4"/>
  <c r="F37" i="4"/>
  <c r="H36" i="4"/>
  <c r="G36" i="4"/>
  <c r="F36" i="4"/>
  <c r="H35" i="4"/>
  <c r="G35" i="4"/>
  <c r="F35" i="4"/>
  <c r="G34" i="4"/>
  <c r="H34" i="4" s="1"/>
  <c r="H8" i="2" s="1"/>
  <c r="F34" i="4"/>
  <c r="G33" i="4"/>
  <c r="H33" i="4" s="1"/>
  <c r="F33" i="4"/>
  <c r="G32" i="4"/>
  <c r="H32" i="4" s="1"/>
  <c r="F32" i="4"/>
  <c r="F31" i="4"/>
  <c r="G31" i="4" s="1"/>
  <c r="H31" i="4" s="1"/>
  <c r="F30" i="4"/>
  <c r="G30" i="4" s="1"/>
  <c r="H30" i="4" s="1"/>
  <c r="F29" i="4"/>
  <c r="G29" i="4" s="1"/>
  <c r="H29" i="4" s="1"/>
  <c r="F28" i="4"/>
  <c r="G28" i="4" s="1"/>
  <c r="H28" i="4" s="1"/>
  <c r="H27" i="4"/>
  <c r="G27" i="4"/>
  <c r="F27" i="4"/>
  <c r="H26" i="4"/>
  <c r="G26" i="4"/>
  <c r="F26" i="4"/>
  <c r="H25" i="4"/>
  <c r="G25" i="4"/>
  <c r="F25" i="4"/>
  <c r="G24" i="4"/>
  <c r="H24" i="4" s="1"/>
  <c r="F24" i="4"/>
  <c r="G23" i="4"/>
  <c r="H23" i="4" s="1"/>
  <c r="B21" i="2" s="1"/>
  <c r="F23" i="4"/>
  <c r="G22" i="4"/>
  <c r="H22" i="4" s="1"/>
  <c r="F22" i="4"/>
  <c r="F21" i="4"/>
  <c r="G21" i="4" s="1"/>
  <c r="H21" i="4" s="1"/>
  <c r="F20" i="4"/>
  <c r="G20" i="4" s="1"/>
  <c r="H20" i="4" s="1"/>
  <c r="F19" i="4"/>
  <c r="G19" i="4" s="1"/>
  <c r="H19" i="4" s="1"/>
  <c r="F18" i="4"/>
  <c r="G18" i="4" s="1"/>
  <c r="H18" i="4" s="1"/>
  <c r="H17" i="4"/>
  <c r="G17" i="4"/>
  <c r="F17" i="4"/>
  <c r="H16" i="4"/>
  <c r="G16" i="4"/>
  <c r="F16" i="4"/>
  <c r="H15" i="4"/>
  <c r="G15" i="4"/>
  <c r="F15" i="4"/>
  <c r="G14" i="4"/>
  <c r="H14" i="4" s="1"/>
  <c r="F14" i="4"/>
  <c r="G13" i="4"/>
  <c r="H13" i="4" s="1"/>
  <c r="H14" i="2" s="1"/>
  <c r="F13" i="4"/>
  <c r="G12" i="4"/>
  <c r="H12" i="4" s="1"/>
  <c r="H13" i="2" s="1"/>
  <c r="F12" i="4"/>
  <c r="F11" i="4"/>
  <c r="G11" i="4" s="1"/>
  <c r="H11" i="4" s="1"/>
  <c r="H12" i="2" s="1"/>
  <c r="F10" i="4"/>
  <c r="G10" i="4" s="1"/>
  <c r="H10" i="4" s="1"/>
  <c r="H11" i="2" s="1"/>
  <c r="F9" i="4"/>
  <c r="G9" i="4" s="1"/>
  <c r="H9" i="4" s="1"/>
  <c r="H10" i="2" s="1"/>
  <c r="F8" i="4"/>
  <c r="G8" i="4" s="1"/>
  <c r="H8" i="4" s="1"/>
  <c r="H7" i="4"/>
  <c r="G7" i="4"/>
  <c r="F7" i="4"/>
  <c r="H6" i="4"/>
  <c r="G6" i="4"/>
  <c r="F6" i="4"/>
  <c r="H5" i="4"/>
  <c r="G5" i="4"/>
  <c r="F5" i="4"/>
  <c r="C26" i="2"/>
  <c r="C25" i="2"/>
  <c r="C24" i="2"/>
  <c r="C23" i="2"/>
  <c r="C22" i="2"/>
  <c r="C21" i="2"/>
  <c r="C20" i="2"/>
  <c r="C19" i="2"/>
  <c r="J14" i="2"/>
  <c r="K14" i="2" s="1"/>
  <c r="I14" i="2"/>
  <c r="F14" i="2"/>
  <c r="G14" i="2" s="1"/>
  <c r="E14" i="2"/>
  <c r="J13" i="2"/>
  <c r="K13" i="2" s="1"/>
  <c r="I13" i="2"/>
  <c r="F13" i="2"/>
  <c r="G13" i="2" s="1"/>
  <c r="E13" i="2"/>
  <c r="K12" i="2"/>
  <c r="J12" i="2"/>
  <c r="I12" i="2"/>
  <c r="F12" i="2"/>
  <c r="G12" i="2" s="1"/>
  <c r="E12" i="2"/>
  <c r="J11" i="2"/>
  <c r="I11" i="2"/>
  <c r="K11" i="2" s="1"/>
  <c r="F11" i="2"/>
  <c r="G11" i="2" s="1"/>
  <c r="E11" i="2"/>
  <c r="B11" i="2"/>
  <c r="J10" i="2"/>
  <c r="K10" i="2" s="1"/>
  <c r="I10" i="2"/>
  <c r="F10" i="2"/>
  <c r="G10" i="2" s="1"/>
  <c r="E10" i="2"/>
  <c r="J9" i="2"/>
  <c r="K9" i="2" s="1"/>
  <c r="I9" i="2"/>
  <c r="F9" i="2"/>
  <c r="G9" i="2" s="1"/>
  <c r="E9" i="2"/>
  <c r="J8" i="2"/>
  <c r="K8" i="2" s="1"/>
  <c r="I8" i="2"/>
  <c r="F8" i="2"/>
  <c r="G8" i="2" s="1"/>
  <c r="E8" i="2"/>
  <c r="J7" i="2"/>
  <c r="K7" i="2" s="1"/>
  <c r="I7" i="2"/>
  <c r="F7" i="2"/>
  <c r="G7" i="2" s="1"/>
  <c r="E7" i="2"/>
  <c r="B7" i="2"/>
  <c r="J6" i="2"/>
  <c r="I6" i="2"/>
  <c r="K6" i="2" s="1"/>
  <c r="F6" i="2"/>
  <c r="G6" i="2" s="1"/>
  <c r="E6" i="2"/>
  <c r="B6" i="2"/>
  <c r="B8" i="2" s="1"/>
  <c r="B5" i="2"/>
  <c r="B22" i="2" l="1"/>
  <c r="B12" i="2"/>
  <c r="B25" i="2"/>
  <c r="H7" i="2"/>
  <c r="B24" i="2"/>
  <c r="H6" i="2"/>
  <c r="B20" i="2"/>
  <c r="H9" i="2"/>
  <c r="B9" i="2"/>
  <c r="B10" i="2"/>
  <c r="B19" i="2"/>
  <c r="B23" i="2"/>
  <c r="E11" i="6"/>
  <c r="E14" i="6" s="1"/>
  <c r="B13" i="2" s="1"/>
  <c r="F11" i="6"/>
  <c r="E12" i="6"/>
  <c r="E13" i="6"/>
</calcChain>
</file>

<file path=xl/sharedStrings.xml><?xml version="1.0" encoding="utf-8"?>
<sst xmlns="http://schemas.openxmlformats.org/spreadsheetml/2006/main" count="392" uniqueCount="91">
  <si>
    <t>Hospital Parking Revenue Reconciliation &amp; Variance Dashboard</t>
  </si>
  <si>
    <t>Portfolio project by Shailanshi Gupta | Built in Excel | ALL DATA IS SYNTHETIC (mock data for demonstration only)</t>
  </si>
  <si>
    <t>Purpose</t>
  </si>
  <si>
    <t>Demonstrates the monthly workflow of a hospital parking revenue control analyst: reconciling public parking account invoices to collections, analyzing revenue vs. budget variances by location, and reconciling employee parking access against payroll deductions.</t>
  </si>
  <si>
    <t>Data</t>
  </si>
  <si>
    <t>All accounts, locations, and amounts are invented for illustration. No real hospital, patient, employee, or vendor data is used.</t>
  </si>
  <si>
    <t>How it works</t>
  </si>
  <si>
    <t>Blue cells are inputs (mock data). Black cells are formulas. Change any blue input and every reconciliation status, variance, KPI, and chart updates automatically.</t>
  </si>
  <si>
    <t>Assumptions</t>
  </si>
  <si>
    <t>Tolerances and rates live on the Assumptions sheet and are referenced by every formula (no hardcoded thresholds).</t>
  </si>
  <si>
    <t>Sheets</t>
  </si>
  <si>
    <t>Assumptions | Invoice_Recon (account-level invoice vs. collection reconciliation) | Budget_vs_Actual (location revenue variance) | Employee_Access (permits vs. payroll deductions) | Dashboard (KPIs, exception summary, charts).</t>
  </si>
  <si>
    <t>Key questions answered</t>
  </si>
  <si>
    <t>Which accounts were under- or over-paid, and by how much? Which months and locations missed budget? How many active employee permits are not being billed through payroll, and what is the estimated revenue leakage?</t>
  </si>
  <si>
    <t>Parking Revenue Control Dashboard (Jan-Sep 2026)</t>
  </si>
  <si>
    <t>Synthetic data | All figures are live formulas linked to the reconciliation sheets</t>
  </si>
  <si>
    <t>KEY METRICS</t>
  </si>
  <si>
    <t>MONTHLY SUMMARY</t>
  </si>
  <si>
    <t>Total Billed</t>
  </si>
  <si>
    <t>Month</t>
  </si>
  <si>
    <t>Billed ($)</t>
  </si>
  <si>
    <t>Collected ($)</t>
  </si>
  <si>
    <t>Variance ($)</t>
  </si>
  <si>
    <t>Exceptions (#)</t>
  </si>
  <si>
    <t>Budget ($)</t>
  </si>
  <si>
    <t>Actual ($)</t>
  </si>
  <si>
    <t>Budget Var %</t>
  </si>
  <si>
    <t>Total Collected</t>
  </si>
  <si>
    <t>Jan-2026</t>
  </si>
  <si>
    <t>Collection Rate</t>
  </si>
  <si>
    <t>Feb-2026</t>
  </si>
  <si>
    <t>Net Invoice Variance</t>
  </si>
  <si>
    <t>Mar-2026</t>
  </si>
  <si>
    <t>Invoice Exceptions (#)</t>
  </si>
  <si>
    <t>Apr-2026</t>
  </si>
  <si>
    <t>Gross Exception Amount</t>
  </si>
  <si>
    <t>May-2026</t>
  </si>
  <si>
    <t>Revenue vs. Budget (YTD)</t>
  </si>
  <si>
    <t>Jun-2026</t>
  </si>
  <si>
    <t>Location-Months Flagged</t>
  </si>
  <si>
    <t>Jul-2026</t>
  </si>
  <si>
    <t>Est. Unbilled Employee Permits ($)</t>
  </si>
  <si>
    <t>Aug-2026</t>
  </si>
  <si>
    <t>Sep-2026</t>
  </si>
  <si>
    <t>EXCEPTIONS BY ACCOUNT</t>
  </si>
  <si>
    <t>Account</t>
  </si>
  <si>
    <t>Net Variance ($)</t>
  </si>
  <si>
    <t>Corporate Partner A</t>
  </si>
  <si>
    <t>Corporate Partner B</t>
  </si>
  <si>
    <t>Hotel Validation Program</t>
  </si>
  <si>
    <t>Event Parking - Conference Center</t>
  </si>
  <si>
    <t>Rideshare Pickup Zone</t>
  </si>
  <si>
    <t>Contractor Lot Permits</t>
  </si>
  <si>
    <t>Patient Family Pass Program</t>
  </si>
  <si>
    <t>Medical Office Tenant C</t>
  </si>
  <si>
    <t>Edit yellow cells to change thresholds; all formulas reference these cells</t>
  </si>
  <si>
    <t>Assumption</t>
  </si>
  <si>
    <t>Value</t>
  </si>
  <si>
    <t>Note</t>
  </si>
  <si>
    <t>Invoice match tolerance (%)</t>
  </si>
  <si>
    <t>Collections within +/-1% of billed are treated as Matched</t>
  </si>
  <si>
    <t>Budget variance flag threshold (%)</t>
  </si>
  <si>
    <t>Location-months beyond +/-5% of budget are flagged</t>
  </si>
  <si>
    <t>Employee permit monthly rate ($)</t>
  </si>
  <si>
    <t>Synthetic monthly parking deduction per active permit</t>
  </si>
  <si>
    <t>Public Parking Accounts: Invoice vs. Collection Reconciliation</t>
  </si>
  <si>
    <t>Synthetic data | Billed and Collected are inputs (blue); Variance and Status are formulas</t>
  </si>
  <si>
    <t>Account Type</t>
  </si>
  <si>
    <t>Variance %</t>
  </si>
  <si>
    <t>Status</t>
  </si>
  <si>
    <t>Monthly contract</t>
  </si>
  <si>
    <t>Validation</t>
  </si>
  <si>
    <t>Event</t>
  </si>
  <si>
    <t>Access fee</t>
  </si>
  <si>
    <t>Permit</t>
  </si>
  <si>
    <t>Prepaid pass</t>
  </si>
  <si>
    <t>Parking Revenue: Budget vs. Actual by Location</t>
  </si>
  <si>
    <t>Synthetic data | Budget and Actual are inputs (blue); variance and flag are formulas</t>
  </si>
  <si>
    <t>Location</t>
  </si>
  <si>
    <t>Flag</t>
  </si>
  <si>
    <t>Garage North</t>
  </si>
  <si>
    <t>Garage South</t>
  </si>
  <si>
    <t>Visitor Surface Lot</t>
  </si>
  <si>
    <t>Valet Service</t>
  </si>
  <si>
    <t>Employee Parking Access vs. Payroll Deductions</t>
  </si>
  <si>
    <t>Synthetic data | Active permits and deductions are inputs (blue); gap and estimated leakage are formulas</t>
  </si>
  <si>
    <t>Active Badge Permits</t>
  </si>
  <si>
    <t>Payroll Deductions Processed</t>
  </si>
  <si>
    <t>Unbilled Permits</t>
  </si>
  <si>
    <t>Est. Unbilled Revenue ($)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</si>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</sst>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;\(0.0%\);\-"/>
    <numFmt numFmtId="166" formatCode="#,##0;\(#,##0\);\-"/>
  </numFmts>
  <fonts count="12" x14ac:knownFonts="1">
    <font>
      <sz val="11"/>
      <color theme="1"/>
      <name val="Calibri"/>
      <family val="2"/>
      <charset val="1"/>
    </font>
    <font>
      <b/>
      <sz val="12"/>
      <color rgb="FF1F3864"/>
      <name val="Times New Roman"/>
      <family val="1"/>
    </font>
    <font>
      <sz val="12"/>
      <color theme="1"/>
      <name val="Times New Roman"/>
      <family val="1"/>
    </font>
    <font>
      <i/>
      <sz val="12"/>
      <color rgb="FF59595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4"/>
      <color rgb="FF595959"/>
      <name val="Times New Roman"/>
      <family val="1"/>
    </font>
    <font>
      <sz val="12"/>
      <color rgb="FF008000"/>
      <name val="Times New Roman"/>
      <family val="1"/>
    </font>
    <font>
      <b/>
      <sz val="12"/>
      <color rgb="FFFFFFFF"/>
      <name val="Times New Roman"/>
      <family val="1"/>
    </font>
    <font>
      <b/>
      <sz val="16"/>
      <color rgb="FF1F3864"/>
      <name val="Times New Roman"/>
      <family val="1"/>
    </font>
    <font>
      <sz val="12"/>
      <color rgb="FF0000FF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1" fillId="0" borderId="0" xfId="0" applyFont="1"/>
    <xf numFmtId="0" fontId="4" fillId="2" borderId="1" xfId="0" applyFont="1" applyFill="1" applyBorder="1"/>
    <xf numFmtId="164" fontId="7" fillId="2" borderId="1" xfId="0" applyNumberFormat="1" applyFont="1" applyFill="1" applyBorder="1"/>
    <xf numFmtId="0" fontId="8" fillId="3" borderId="1" xfId="0" applyFont="1" applyFill="1" applyBorder="1" applyAlignment="1">
      <alignment horizontal="center" wrapText="1"/>
    </xf>
    <xf numFmtId="0" fontId="5" fillId="0" borderId="1" xfId="0" applyFont="1" applyBorder="1"/>
    <xf numFmtId="164" fontId="7" fillId="0" borderId="1" xfId="0" applyNumberFormat="1" applyFont="1" applyBorder="1"/>
    <xf numFmtId="164" fontId="5" fillId="0" borderId="1" xfId="0" applyNumberFormat="1" applyFont="1" applyBorder="1"/>
    <xf numFmtId="1" fontId="7" fillId="0" borderId="1" xfId="0" applyNumberFormat="1" applyFont="1" applyBorder="1"/>
    <xf numFmtId="165" fontId="5" fillId="0" borderId="1" xfId="0" applyNumberFormat="1" applyFont="1" applyBorder="1"/>
    <xf numFmtId="165" fontId="5" fillId="2" borderId="1" xfId="0" applyNumberFormat="1" applyFont="1" applyFill="1" applyBorder="1"/>
    <xf numFmtId="164" fontId="5" fillId="2" borderId="1" xfId="0" applyNumberFormat="1" applyFont="1" applyFill="1" applyBorder="1"/>
    <xf numFmtId="1" fontId="7" fillId="2" borderId="1" xfId="0" applyNumberFormat="1" applyFont="1" applyFill="1" applyBorder="1"/>
    <xf numFmtId="0" fontId="8" fillId="3" borderId="1" xfId="0" applyFont="1" applyFill="1" applyBorder="1"/>
    <xf numFmtId="0" fontId="9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5" fillId="0" borderId="0" xfId="0" applyFont="1"/>
    <xf numFmtId="165" fontId="10" fillId="4" borderId="1" xfId="0" applyNumberFormat="1" applyFont="1" applyFill="1" applyBorder="1"/>
    <xf numFmtId="0" fontId="11" fillId="0" borderId="0" xfId="0" applyFont="1"/>
    <xf numFmtId="164" fontId="10" fillId="4" borderId="1" xfId="0" applyNumberFormat="1" applyFont="1" applyFill="1" applyBorder="1"/>
    <xf numFmtId="164" fontId="10" fillId="0" borderId="1" xfId="0" applyNumberFormat="1" applyFont="1" applyBorder="1"/>
    <xf numFmtId="3" fontId="10" fillId="0" borderId="1" xfId="0" applyNumberFormat="1" applyFont="1" applyBorder="1"/>
    <xf numFmtId="166" fontId="5" fillId="0" borderId="1" xfId="0" applyNumberFormat="1" applyFont="1" applyBorder="1"/>
    <xf numFmtId="3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5"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Billed vs. Collected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</c:f>
              <c:strCache>
                <c:ptCount val="1"/>
                <c:pt idx="0">
                  <c:v>Billed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Dashboard!$D$6:$D$14</c:f>
              <c:strCache>
                <c:ptCount val="9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</c:strCache>
            </c:strRef>
          </c:cat>
          <c:val>
            <c:numRef>
              <c:f>Dashboard!$E$6:$E$14</c:f>
              <c:numCache>
                <c:formatCode>\$#,##0;"($"#,##0\);\-</c:formatCode>
                <c:ptCount val="9"/>
                <c:pt idx="0">
                  <c:v>75410</c:v>
                </c:pt>
                <c:pt idx="1">
                  <c:v>75720</c:v>
                </c:pt>
                <c:pt idx="2">
                  <c:v>76950</c:v>
                </c:pt>
                <c:pt idx="3">
                  <c:v>74480</c:v>
                </c:pt>
                <c:pt idx="4">
                  <c:v>73180</c:v>
                </c:pt>
                <c:pt idx="5">
                  <c:v>74570</c:v>
                </c:pt>
                <c:pt idx="6">
                  <c:v>76210</c:v>
                </c:pt>
                <c:pt idx="7">
                  <c:v>75180</c:v>
                </c:pt>
                <c:pt idx="8">
                  <c:v>77520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E-DB4E-8774-30673B0014E4}"/>
            </c:ext>
          </c:extLst>
        </c:ser>
        <c:ser>
          <c:idx val="1"/>
          <c:order val="1"/>
          <c:tx>
            <c:strRef>
              <c:f>Dashboard!$F$5</c:f>
              <c:strCache>
                <c:ptCount val="1"/>
                <c:pt idx="0">
                  <c:v>Collected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Dashboard!$D$6:$D$14</c:f>
              <c:strCache>
                <c:ptCount val="9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</c:strCache>
            </c:strRef>
          </c:cat>
          <c:val>
            <c:numRef>
              <c:f>Dashboard!$F$6:$F$14</c:f>
              <c:numCache>
                <c:formatCode>\$#,##0;"($"#,##0\);\-</c:formatCode>
                <c:ptCount val="9"/>
                <c:pt idx="0">
                  <c:v>75314</c:v>
                </c:pt>
                <c:pt idx="1">
                  <c:v>75063</c:v>
                </c:pt>
                <c:pt idx="2">
                  <c:v>75144</c:v>
                </c:pt>
                <c:pt idx="3">
                  <c:v>74327</c:v>
                </c:pt>
                <c:pt idx="4">
                  <c:v>64022</c:v>
                </c:pt>
                <c:pt idx="5">
                  <c:v>74844</c:v>
                </c:pt>
                <c:pt idx="6">
                  <c:v>76585</c:v>
                </c:pt>
                <c:pt idx="7">
                  <c:v>67849</c:v>
                </c:pt>
                <c:pt idx="8">
                  <c:v>76098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E-DB4E-8774-30673B001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23986"/>
        <c:axId val="78038090"/>
      </c:barChart>
      <c:catAx>
        <c:axId val="85723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038090"/>
        <c:crosses val="autoZero"/>
        <c:auto val="1"/>
        <c:lblAlgn val="ctr"/>
        <c:lblOffset val="100"/>
        <c:noMultiLvlLbl val="0"/>
      </c:catAx>
      <c:valAx>
        <c:axId val="78038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23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Parking Revenue: 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Dashboard!$I$5</c:f>
              <c:strCache>
                <c:ptCount val="1"/>
                <c:pt idx="0">
                  <c:v>Budget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Dashboard!$D$6:$D$14</c:f>
              <c:strCache>
                <c:ptCount val="9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</c:strCache>
            </c:strRef>
          </c:cat>
          <c:val>
            <c:numRef>
              <c:f>Dashboard!$I$6:$I$14</c:f>
              <c:numCache>
                <c:formatCode>\$#,##0;"($"#,##0\);\-</c:formatCode>
                <c:ptCount val="9"/>
                <c:pt idx="0">
                  <c:v>320100</c:v>
                </c:pt>
                <c:pt idx="1">
                  <c:v>313400</c:v>
                </c:pt>
                <c:pt idx="2">
                  <c:v>337000</c:v>
                </c:pt>
                <c:pt idx="3">
                  <c:v>340400</c:v>
                </c:pt>
                <c:pt idx="4">
                  <c:v>347100</c:v>
                </c:pt>
                <c:pt idx="5">
                  <c:v>343700</c:v>
                </c:pt>
                <c:pt idx="6">
                  <c:v>330300</c:v>
                </c:pt>
                <c:pt idx="7">
                  <c:v>326900</c:v>
                </c:pt>
                <c:pt idx="8">
                  <c:v>350400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0-B741-9ECF-141CE8417302}"/>
            </c:ext>
          </c:extLst>
        </c:ser>
        <c:ser>
          <c:idx val="1"/>
          <c:order val="1"/>
          <c:tx>
            <c:strRef>
              <c:f>Dashboard!$J$5</c:f>
              <c:strCache>
                <c:ptCount val="1"/>
                <c:pt idx="0">
                  <c:v>Actual ($)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Dashboard!$D$6:$D$14</c:f>
              <c:strCache>
                <c:ptCount val="9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</c:strCache>
            </c:strRef>
          </c:cat>
          <c:val>
            <c:numRef>
              <c:f>Dashboard!$J$6:$J$14</c:f>
              <c:numCache>
                <c:formatCode>\$#,##0;"($"#,##0\);\-</c:formatCode>
                <c:ptCount val="9"/>
                <c:pt idx="0">
                  <c:v>321290</c:v>
                </c:pt>
                <c:pt idx="1">
                  <c:v>309100</c:v>
                </c:pt>
                <c:pt idx="2">
                  <c:v>339740</c:v>
                </c:pt>
                <c:pt idx="3">
                  <c:v>343780</c:v>
                </c:pt>
                <c:pt idx="4">
                  <c:v>334340</c:v>
                </c:pt>
                <c:pt idx="5">
                  <c:v>345750</c:v>
                </c:pt>
                <c:pt idx="6">
                  <c:v>321170</c:v>
                </c:pt>
                <c:pt idx="7">
                  <c:v>326210</c:v>
                </c:pt>
                <c:pt idx="8">
                  <c:v>347010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0-B741-9ECF-141CE8417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134391"/>
        <c:axId val="62997187"/>
      </c:lineChart>
      <c:catAx>
        <c:axId val="61134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97187"/>
        <c:crosses val="autoZero"/>
        <c:auto val="1"/>
        <c:lblAlgn val="ctr"/>
        <c:lblOffset val="100"/>
        <c:noMultiLvlLbl val="0"/>
      </c:catAx>
      <c:valAx>
        <c:axId val="62997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34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160920</xdr:rowOff>
    </xdr:from>
    <xdr:to>
      <xdr:col>10</xdr:col>
      <xdr:colOff>622080</xdr:colOff>
      <xdr:row>29</xdr:row>
      <xdr:rowOff>15580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31</xdr:row>
      <xdr:rowOff>160560</xdr:rowOff>
    </xdr:from>
    <xdr:to>
      <xdr:col>10</xdr:col>
      <xdr:colOff>622080</xdr:colOff>
      <xdr:row>45</xdr:row>
      <xdr:rowOff>15220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"/>
  <sheetViews>
    <sheetView showGridLines="0" zoomScaleNormal="100" workbookViewId="0">
      <selection activeCell="A5" sqref="A5"/>
    </sheetView>
  </sheetViews>
  <sheetFormatPr baseColWidth="10" defaultColWidth="8.6640625" defaultRowHeight="16" x14ac:dyDescent="0.2"/>
  <cols>
    <col min="1" max="1" width="25.6640625" style="2" customWidth="1"/>
    <col min="2" max="2" width="110" style="2" customWidth="1"/>
    <col min="3" max="16384" width="8.6640625" style="2"/>
  </cols>
  <sheetData>
    <row r="1" spans="1:2" x14ac:dyDescent="0.2">
      <c r="A1" s="1" t="s">
        <v>0</v>
      </c>
      <c r="B1" s="1"/>
    </row>
    <row r="2" spans="1:2" x14ac:dyDescent="0.2">
      <c r="A2" s="3" t="s">
        <v>1</v>
      </c>
      <c r="B2" s="3"/>
    </row>
    <row r="4" spans="1:2" ht="45" customHeight="1" x14ac:dyDescent="0.2">
      <c r="A4" s="4" t="s">
        <v>2</v>
      </c>
      <c r="B4" s="5" t="s">
        <v>3</v>
      </c>
    </row>
    <row r="5" spans="1:2" ht="45" customHeight="1" x14ac:dyDescent="0.2">
      <c r="A5" s="4" t="s">
        <v>4</v>
      </c>
      <c r="B5" s="5" t="s">
        <v>5</v>
      </c>
    </row>
    <row r="6" spans="1:2" ht="45" customHeight="1" x14ac:dyDescent="0.2">
      <c r="A6" s="4" t="s">
        <v>6</v>
      </c>
      <c r="B6" s="5" t="s">
        <v>7</v>
      </c>
    </row>
    <row r="7" spans="1:2" ht="45" customHeight="1" x14ac:dyDescent="0.2">
      <c r="A7" s="4" t="s">
        <v>8</v>
      </c>
      <c r="B7" s="5" t="s">
        <v>9</v>
      </c>
    </row>
    <row r="8" spans="1:2" ht="45" customHeight="1" x14ac:dyDescent="0.2">
      <c r="A8" s="4" t="s">
        <v>10</v>
      </c>
      <c r="B8" s="5" t="s">
        <v>11</v>
      </c>
    </row>
    <row r="9" spans="1:2" ht="45" customHeight="1" x14ac:dyDescent="0.2">
      <c r="A9" s="4" t="s">
        <v>12</v>
      </c>
      <c r="B9" s="5" t="s">
        <v>13</v>
      </c>
    </row>
  </sheetData>
  <mergeCells count="2">
    <mergeCell ref="A1:B1"/>
    <mergeCell ref="A2:B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6"/>
  <sheetViews>
    <sheetView showGridLines="0" tabSelected="1" zoomScaleNormal="100" workbookViewId="0">
      <selection activeCell="N13" sqref="N13"/>
    </sheetView>
  </sheetViews>
  <sheetFormatPr baseColWidth="10" defaultColWidth="8.6640625" defaultRowHeight="16" x14ac:dyDescent="0.2"/>
  <cols>
    <col min="1" max="1" width="34" style="2" customWidth="1"/>
    <col min="2" max="3" width="16" style="2" customWidth="1"/>
    <col min="4" max="11" width="13" style="2" customWidth="1"/>
    <col min="12" max="16384" width="8.6640625" style="2"/>
  </cols>
  <sheetData>
    <row r="1" spans="1:11" ht="20" x14ac:dyDescent="0.2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">
      <c r="A2" s="3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">
      <c r="A4" s="7" t="s">
        <v>16</v>
      </c>
      <c r="D4" s="7" t="s">
        <v>17</v>
      </c>
    </row>
    <row r="5" spans="1:11" ht="34" x14ac:dyDescent="0.2">
      <c r="A5" s="8" t="s">
        <v>18</v>
      </c>
      <c r="B5" s="9">
        <f>SUM(Invoice_Recon!D5:D76)</f>
        <v>679220</v>
      </c>
      <c r="D5" s="10" t="s">
        <v>19</v>
      </c>
      <c r="E5" s="10" t="s">
        <v>20</v>
      </c>
      <c r="F5" s="10" t="s">
        <v>21</v>
      </c>
      <c r="G5" s="10" t="s">
        <v>22</v>
      </c>
      <c r="H5" s="10" t="s">
        <v>23</v>
      </c>
      <c r="I5" s="10" t="s">
        <v>24</v>
      </c>
      <c r="J5" s="10" t="s">
        <v>25</v>
      </c>
      <c r="K5" s="10" t="s">
        <v>26</v>
      </c>
    </row>
    <row r="6" spans="1:11" x14ac:dyDescent="0.2">
      <c r="A6" s="8" t="s">
        <v>27</v>
      </c>
      <c r="B6" s="9">
        <f>SUM(Invoice_Recon!E5:E76)</f>
        <v>659246</v>
      </c>
      <c r="D6" s="11" t="s">
        <v>28</v>
      </c>
      <c r="E6" s="12">
        <f>SUMIFS(Invoice_Recon!$D$5:$D$76,Invoice_Recon!$C$5:$C$76,$D6)</f>
        <v>75410</v>
      </c>
      <c r="F6" s="12">
        <f>SUMIFS(Invoice_Recon!$E$5:$E$76,Invoice_Recon!$C$5:$C$76,$D6)</f>
        <v>75314</v>
      </c>
      <c r="G6" s="13">
        <f t="shared" ref="G6:G14" si="0">F6-E6</f>
        <v>-96</v>
      </c>
      <c r="H6" s="14">
        <f>COUNTIFS(Invoice_Recon!$C$5:$C$76,$D6,Invoice_Recon!$H$5:$H$76,"&lt;&gt;Matched")</f>
        <v>0</v>
      </c>
      <c r="I6" s="12">
        <f>SUMIFS(Budget_vs_Actual!$C$5:$C$40,Budget_vs_Actual!$B$5:$B$40,$D6)</f>
        <v>320100</v>
      </c>
      <c r="J6" s="12">
        <f>SUMIFS(Budget_vs_Actual!$D$5:$D$40,Budget_vs_Actual!$B$5:$B$40,$D6)</f>
        <v>321290</v>
      </c>
      <c r="K6" s="15">
        <f t="shared" ref="K6:K14" si="1">IFERROR(J6/I6-1,0)</f>
        <v>3.7175882536706339E-3</v>
      </c>
    </row>
    <row r="7" spans="1:11" x14ac:dyDescent="0.2">
      <c r="A7" s="8" t="s">
        <v>29</v>
      </c>
      <c r="B7" s="16">
        <f>IFERROR(B6/B5,0)</f>
        <v>0.97059273872971941</v>
      </c>
      <c r="D7" s="11" t="s">
        <v>30</v>
      </c>
      <c r="E7" s="12">
        <f>SUMIFS(Invoice_Recon!$D$5:$D$76,Invoice_Recon!$C$5:$C$76,$D7)</f>
        <v>75720</v>
      </c>
      <c r="F7" s="12">
        <f>SUMIFS(Invoice_Recon!$E$5:$E$76,Invoice_Recon!$C$5:$C$76,$D7)</f>
        <v>75063</v>
      </c>
      <c r="G7" s="13">
        <f t="shared" si="0"/>
        <v>-657</v>
      </c>
      <c r="H7" s="14">
        <f>COUNTIFS(Invoice_Recon!$C$5:$C$76,$D7,Invoice_Recon!$H$5:$H$76,"&lt;&gt;Matched")</f>
        <v>1</v>
      </c>
      <c r="I7" s="12">
        <f>SUMIFS(Budget_vs_Actual!$C$5:$C$40,Budget_vs_Actual!$B$5:$B$40,$D7)</f>
        <v>313400</v>
      </c>
      <c r="J7" s="12">
        <f>SUMIFS(Budget_vs_Actual!$D$5:$D$40,Budget_vs_Actual!$B$5:$B$40,$D7)</f>
        <v>309100</v>
      </c>
      <c r="K7" s="15">
        <f t="shared" si="1"/>
        <v>-1.3720485003190785E-2</v>
      </c>
    </row>
    <row r="8" spans="1:11" x14ac:dyDescent="0.2">
      <c r="A8" s="8" t="s">
        <v>31</v>
      </c>
      <c r="B8" s="17">
        <f>B6-B5</f>
        <v>-19974</v>
      </c>
      <c r="D8" s="11" t="s">
        <v>32</v>
      </c>
      <c r="E8" s="12">
        <f>SUMIFS(Invoice_Recon!$D$5:$D$76,Invoice_Recon!$C$5:$C$76,$D8)</f>
        <v>76950</v>
      </c>
      <c r="F8" s="12">
        <f>SUMIFS(Invoice_Recon!$E$5:$E$76,Invoice_Recon!$C$5:$C$76,$D8)</f>
        <v>75144</v>
      </c>
      <c r="G8" s="13">
        <f t="shared" si="0"/>
        <v>-1806</v>
      </c>
      <c r="H8" s="14">
        <f>COUNTIFS(Invoice_Recon!$C$5:$C$76,$D8,Invoice_Recon!$H$5:$H$76,"&lt;&gt;Matched")</f>
        <v>2</v>
      </c>
      <c r="I8" s="12">
        <f>SUMIFS(Budget_vs_Actual!$C$5:$C$40,Budget_vs_Actual!$B$5:$B$40,$D8)</f>
        <v>337000</v>
      </c>
      <c r="J8" s="12">
        <f>SUMIFS(Budget_vs_Actual!$D$5:$D$40,Budget_vs_Actual!$B$5:$B$40,$D8)</f>
        <v>339740</v>
      </c>
      <c r="K8" s="15">
        <f t="shared" si="1"/>
        <v>8.1305637982196366E-3</v>
      </c>
    </row>
    <row r="9" spans="1:11" x14ac:dyDescent="0.2">
      <c r="A9" s="8" t="s">
        <v>33</v>
      </c>
      <c r="B9" s="18">
        <f>COUNTIF(Invoice_Recon!H5:H76,"&lt;&gt;Matched")</f>
        <v>9</v>
      </c>
      <c r="D9" s="11" t="s">
        <v>34</v>
      </c>
      <c r="E9" s="12">
        <f>SUMIFS(Invoice_Recon!$D$5:$D$76,Invoice_Recon!$C$5:$C$76,$D9)</f>
        <v>74480</v>
      </c>
      <c r="F9" s="12">
        <f>SUMIFS(Invoice_Recon!$E$5:$E$76,Invoice_Recon!$C$5:$C$76,$D9)</f>
        <v>74327</v>
      </c>
      <c r="G9" s="13">
        <f t="shared" si="0"/>
        <v>-153</v>
      </c>
      <c r="H9" s="14">
        <f>COUNTIFS(Invoice_Recon!$C$5:$C$76,$D9,Invoice_Recon!$H$5:$H$76,"&lt;&gt;Matched")</f>
        <v>1</v>
      </c>
      <c r="I9" s="12">
        <f>SUMIFS(Budget_vs_Actual!$C$5:$C$40,Budget_vs_Actual!$B$5:$B$40,$D9)</f>
        <v>340400</v>
      </c>
      <c r="J9" s="12">
        <f>SUMIFS(Budget_vs_Actual!$D$5:$D$40,Budget_vs_Actual!$B$5:$B$40,$D9)</f>
        <v>343780</v>
      </c>
      <c r="K9" s="15">
        <f t="shared" si="1"/>
        <v>9.9294947121033594E-3</v>
      </c>
    </row>
    <row r="10" spans="1:11" x14ac:dyDescent="0.2">
      <c r="A10" s="8" t="s">
        <v>35</v>
      </c>
      <c r="B10" s="9">
        <f>SUMPRODUCT((Invoice_Recon!H5:H76&lt;&gt;"Matched")*ABS(Invoice_Recon!F5:F76))</f>
        <v>21330</v>
      </c>
      <c r="D10" s="11" t="s">
        <v>36</v>
      </c>
      <c r="E10" s="12">
        <f>SUMIFS(Invoice_Recon!$D$5:$D$76,Invoice_Recon!$C$5:$C$76,$D10)</f>
        <v>73180</v>
      </c>
      <c r="F10" s="12">
        <f>SUMIFS(Invoice_Recon!$E$5:$E$76,Invoice_Recon!$C$5:$C$76,$D10)</f>
        <v>64022</v>
      </c>
      <c r="G10" s="13">
        <f t="shared" si="0"/>
        <v>-9158</v>
      </c>
      <c r="H10" s="14">
        <f>COUNTIFS(Invoice_Recon!$C$5:$C$76,$D10,Invoice_Recon!$H$5:$H$76,"&lt;&gt;Matched")</f>
        <v>1</v>
      </c>
      <c r="I10" s="12">
        <f>SUMIFS(Budget_vs_Actual!$C$5:$C$40,Budget_vs_Actual!$B$5:$B$40,$D10)</f>
        <v>347100</v>
      </c>
      <c r="J10" s="12">
        <f>SUMIFS(Budget_vs_Actual!$D$5:$D$40,Budget_vs_Actual!$B$5:$B$40,$D10)</f>
        <v>334340</v>
      </c>
      <c r="K10" s="15">
        <f t="shared" si="1"/>
        <v>-3.6761740132526644E-2</v>
      </c>
    </row>
    <row r="11" spans="1:11" x14ac:dyDescent="0.2">
      <c r="A11" s="8" t="s">
        <v>37</v>
      </c>
      <c r="B11" s="9">
        <f>SUM(Budget_vs_Actual!D5:D40)-SUM(Budget_vs_Actual!C5:C40)</f>
        <v>-20910</v>
      </c>
      <c r="D11" s="11" t="s">
        <v>38</v>
      </c>
      <c r="E11" s="12">
        <f>SUMIFS(Invoice_Recon!$D$5:$D$76,Invoice_Recon!$C$5:$C$76,$D11)</f>
        <v>74570</v>
      </c>
      <c r="F11" s="12">
        <f>SUMIFS(Invoice_Recon!$E$5:$E$76,Invoice_Recon!$C$5:$C$76,$D11)</f>
        <v>74844</v>
      </c>
      <c r="G11" s="13">
        <f t="shared" si="0"/>
        <v>274</v>
      </c>
      <c r="H11" s="14">
        <f>COUNTIFS(Invoice_Recon!$C$5:$C$76,$D11,Invoice_Recon!$H$5:$H$76,"&lt;&gt;Matched")</f>
        <v>1</v>
      </c>
      <c r="I11" s="12">
        <f>SUMIFS(Budget_vs_Actual!$C$5:$C$40,Budget_vs_Actual!$B$5:$B$40,$D11)</f>
        <v>343700</v>
      </c>
      <c r="J11" s="12">
        <f>SUMIFS(Budget_vs_Actual!$D$5:$D$40,Budget_vs_Actual!$B$5:$B$40,$D11)</f>
        <v>345750</v>
      </c>
      <c r="K11" s="15">
        <f t="shared" si="1"/>
        <v>5.9645039278439782E-3</v>
      </c>
    </row>
    <row r="12" spans="1:11" x14ac:dyDescent="0.2">
      <c r="A12" s="8" t="s">
        <v>39</v>
      </c>
      <c r="B12" s="18">
        <f>COUNTIF(Budget_vs_Actual!G5:G40,"&lt;&gt;Within Range")</f>
        <v>4</v>
      </c>
      <c r="D12" s="11" t="s">
        <v>40</v>
      </c>
      <c r="E12" s="12">
        <f>SUMIFS(Invoice_Recon!$D$5:$D$76,Invoice_Recon!$C$5:$C$76,$D12)</f>
        <v>76210</v>
      </c>
      <c r="F12" s="12">
        <f>SUMIFS(Invoice_Recon!$E$5:$E$76,Invoice_Recon!$C$5:$C$76,$D12)</f>
        <v>76585</v>
      </c>
      <c r="G12" s="13">
        <f t="shared" si="0"/>
        <v>375</v>
      </c>
      <c r="H12" s="14">
        <f>COUNTIFS(Invoice_Recon!$C$5:$C$76,$D12,Invoice_Recon!$H$5:$H$76,"&lt;&gt;Matched")</f>
        <v>1</v>
      </c>
      <c r="I12" s="12">
        <f>SUMIFS(Budget_vs_Actual!$C$5:$C$40,Budget_vs_Actual!$B$5:$B$40,$D12)</f>
        <v>330300</v>
      </c>
      <c r="J12" s="12">
        <f>SUMIFS(Budget_vs_Actual!$D$5:$D$40,Budget_vs_Actual!$B$5:$B$40,$D12)</f>
        <v>321170</v>
      </c>
      <c r="K12" s="15">
        <f t="shared" si="1"/>
        <v>-2.7641537995761412E-2</v>
      </c>
    </row>
    <row r="13" spans="1:11" x14ac:dyDescent="0.2">
      <c r="A13" s="8" t="s">
        <v>41</v>
      </c>
      <c r="B13" s="9">
        <f>Employee_Access!E14</f>
        <v>1235</v>
      </c>
      <c r="D13" s="11" t="s">
        <v>42</v>
      </c>
      <c r="E13" s="12">
        <f>SUMIFS(Invoice_Recon!$D$5:$D$76,Invoice_Recon!$C$5:$C$76,$D13)</f>
        <v>75180</v>
      </c>
      <c r="F13" s="12">
        <f>SUMIFS(Invoice_Recon!$E$5:$E$76,Invoice_Recon!$C$5:$C$76,$D13)</f>
        <v>67849</v>
      </c>
      <c r="G13" s="13">
        <f t="shared" si="0"/>
        <v>-7331</v>
      </c>
      <c r="H13" s="14">
        <f>COUNTIFS(Invoice_Recon!$C$5:$C$76,$D13,Invoice_Recon!$H$5:$H$76,"&lt;&gt;Matched")</f>
        <v>1</v>
      </c>
      <c r="I13" s="12">
        <f>SUMIFS(Budget_vs_Actual!$C$5:$C$40,Budget_vs_Actual!$B$5:$B$40,$D13)</f>
        <v>326900</v>
      </c>
      <c r="J13" s="12">
        <f>SUMIFS(Budget_vs_Actual!$D$5:$D$40,Budget_vs_Actual!$B$5:$B$40,$D13)</f>
        <v>326210</v>
      </c>
      <c r="K13" s="15">
        <f t="shared" si="1"/>
        <v>-2.1107372285102954E-3</v>
      </c>
    </row>
    <row r="14" spans="1:11" x14ac:dyDescent="0.2">
      <c r="D14" s="11" t="s">
        <v>43</v>
      </c>
      <c r="E14" s="12">
        <f>SUMIFS(Invoice_Recon!$D$5:$D$76,Invoice_Recon!$C$5:$C$76,$D14)</f>
        <v>77520</v>
      </c>
      <c r="F14" s="12">
        <f>SUMIFS(Invoice_Recon!$E$5:$E$76,Invoice_Recon!$C$5:$C$76,$D14)</f>
        <v>76098</v>
      </c>
      <c r="G14" s="13">
        <f t="shared" si="0"/>
        <v>-1422</v>
      </c>
      <c r="H14" s="14">
        <f>COUNTIFS(Invoice_Recon!$C$5:$C$76,$D14,Invoice_Recon!$H$5:$H$76,"&lt;&gt;Matched")</f>
        <v>1</v>
      </c>
      <c r="I14" s="12">
        <f>SUMIFS(Budget_vs_Actual!$C$5:$C$40,Budget_vs_Actual!$B$5:$B$40,$D14)</f>
        <v>350400</v>
      </c>
      <c r="J14" s="12">
        <f>SUMIFS(Budget_vs_Actual!$D$5:$D$40,Budget_vs_Actual!$B$5:$B$40,$D14)</f>
        <v>347010</v>
      </c>
      <c r="K14" s="15">
        <f t="shared" si="1"/>
        <v>-9.6746575342465668E-3</v>
      </c>
    </row>
    <row r="17" spans="1:3" x14ac:dyDescent="0.2">
      <c r="A17" s="7" t="s">
        <v>44</v>
      </c>
    </row>
    <row r="18" spans="1:3" x14ac:dyDescent="0.2">
      <c r="A18" s="19" t="s">
        <v>45</v>
      </c>
      <c r="B18" s="19" t="s">
        <v>23</v>
      </c>
      <c r="C18" s="19" t="s">
        <v>46</v>
      </c>
    </row>
    <row r="19" spans="1:3" x14ac:dyDescent="0.2">
      <c r="A19" s="11" t="s">
        <v>47</v>
      </c>
      <c r="B19" s="14">
        <f>COUNTIFS(Invoice_Recon!$A$5:$A$76,$A19,Invoice_Recon!$H$5:$H$76,"&lt;&gt;Matched")</f>
        <v>1</v>
      </c>
      <c r="C19" s="12">
        <f>SUMIFS(Invoice_Recon!$F$5:$F$76,Invoice_Recon!$A$5:$A$76,$A19)</f>
        <v>-1734</v>
      </c>
    </row>
    <row r="20" spans="1:3" x14ac:dyDescent="0.2">
      <c r="A20" s="11" t="s">
        <v>48</v>
      </c>
      <c r="B20" s="14">
        <f>COUNTIFS(Invoice_Recon!$A$5:$A$76,$A20,Invoice_Recon!$H$5:$H$76,"&lt;&gt;Matched")</f>
        <v>1</v>
      </c>
      <c r="C20" s="12">
        <f>SUMIFS(Invoice_Recon!$F$5:$F$76,Invoice_Recon!$A$5:$A$76,$A20)</f>
        <v>-1196</v>
      </c>
    </row>
    <row r="21" spans="1:3" x14ac:dyDescent="0.2">
      <c r="A21" s="11" t="s">
        <v>49</v>
      </c>
      <c r="B21" s="14">
        <f>COUNTIFS(Invoice_Recon!$A$5:$A$76,$A21,Invoice_Recon!$H$5:$H$76,"&lt;&gt;Matched")</f>
        <v>1</v>
      </c>
      <c r="C21" s="12">
        <f>SUMIFS(Invoice_Recon!$F$5:$F$76,Invoice_Recon!$A$5:$A$76,$A21)</f>
        <v>-9216</v>
      </c>
    </row>
    <row r="22" spans="1:3" x14ac:dyDescent="0.2">
      <c r="A22" s="11" t="s">
        <v>50</v>
      </c>
      <c r="B22" s="14">
        <f>COUNTIFS(Invoice_Recon!$A$5:$A$76,$A22,Invoice_Recon!$H$5:$H$76,"&lt;&gt;Matched")</f>
        <v>2</v>
      </c>
      <c r="C22" s="12">
        <f>SUMIFS(Invoice_Recon!$F$5:$F$76,Invoice_Recon!$A$5:$A$76,$A22)</f>
        <v>256</v>
      </c>
    </row>
    <row r="23" spans="1:3" x14ac:dyDescent="0.2">
      <c r="A23" s="11" t="s">
        <v>51</v>
      </c>
      <c r="B23" s="14">
        <f>COUNTIFS(Invoice_Recon!$A$5:$A$76,$A23,Invoice_Recon!$H$5:$H$76,"&lt;&gt;Matched")</f>
        <v>1</v>
      </c>
      <c r="C23" s="12">
        <f>SUMIFS(Invoice_Recon!$F$5:$F$76,Invoice_Recon!$A$5:$A$76,$A23)</f>
        <v>-669</v>
      </c>
    </row>
    <row r="24" spans="1:3" x14ac:dyDescent="0.2">
      <c r="A24" s="11" t="s">
        <v>52</v>
      </c>
      <c r="B24" s="14">
        <f>COUNTIFS(Invoice_Recon!$A$5:$A$76,$A24,Invoice_Recon!$H$5:$H$76,"&lt;&gt;Matched")</f>
        <v>1</v>
      </c>
      <c r="C24" s="12">
        <f>SUMIFS(Invoice_Recon!$F$5:$F$76,Invoice_Recon!$A$5:$A$76,$A24)</f>
        <v>-7489</v>
      </c>
    </row>
    <row r="25" spans="1:3" x14ac:dyDescent="0.2">
      <c r="A25" s="11" t="s">
        <v>53</v>
      </c>
      <c r="B25" s="14">
        <f>COUNTIFS(Invoice_Recon!$A$5:$A$76,$A25,Invoice_Recon!$H$5:$H$76,"&lt;&gt;Matched")</f>
        <v>1</v>
      </c>
      <c r="C25" s="12">
        <f>SUMIFS(Invoice_Recon!$F$5:$F$76,Invoice_Recon!$A$5:$A$76,$A25)</f>
        <v>-220</v>
      </c>
    </row>
    <row r="26" spans="1:3" x14ac:dyDescent="0.2">
      <c r="A26" s="11" t="s">
        <v>54</v>
      </c>
      <c r="B26" s="14">
        <f>COUNTIFS(Invoice_Recon!$A$5:$A$76,$A26,Invoice_Recon!$H$5:$H$76,"&lt;&gt;Matched")</f>
        <v>1</v>
      </c>
      <c r="C26" s="12">
        <f>SUMIFS(Invoice_Recon!$F$5:$F$76,Invoice_Recon!$A$5:$A$76,$A26)</f>
        <v>294</v>
      </c>
    </row>
  </sheetData>
  <mergeCells count="2">
    <mergeCell ref="A1:K1"/>
    <mergeCell ref="A2:K2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7"/>
  <sheetViews>
    <sheetView showGridLines="0" zoomScaleNormal="100" workbookViewId="0">
      <selection activeCell="C12" sqref="C12"/>
    </sheetView>
  </sheetViews>
  <sheetFormatPr baseColWidth="10" defaultColWidth="8.6640625" defaultRowHeight="16" x14ac:dyDescent="0.2"/>
  <cols>
    <col min="1" max="1" width="36" style="2" customWidth="1"/>
    <col min="2" max="2" width="12" style="2" customWidth="1"/>
    <col min="3" max="3" width="60" style="2" customWidth="1"/>
    <col min="4" max="16384" width="8.6640625" style="2"/>
  </cols>
  <sheetData>
    <row r="1" spans="1:3" ht="20" x14ac:dyDescent="0.2">
      <c r="A1" s="20" t="s">
        <v>8</v>
      </c>
      <c r="B1" s="1"/>
      <c r="C1" s="1"/>
    </row>
    <row r="2" spans="1:3" ht="18" x14ac:dyDescent="0.2">
      <c r="A2" s="6" t="s">
        <v>55</v>
      </c>
      <c r="B2" s="6"/>
      <c r="C2" s="6"/>
    </row>
    <row r="4" spans="1:3" ht="17" x14ac:dyDescent="0.2">
      <c r="A4" s="21" t="s">
        <v>56</v>
      </c>
      <c r="B4" s="21" t="s">
        <v>57</v>
      </c>
      <c r="C4" s="21" t="s">
        <v>58</v>
      </c>
    </row>
    <row r="5" spans="1:3" x14ac:dyDescent="0.2">
      <c r="A5" s="22" t="s">
        <v>59</v>
      </c>
      <c r="B5" s="23">
        <v>0.01</v>
      </c>
      <c r="C5" s="24" t="s">
        <v>60</v>
      </c>
    </row>
    <row r="6" spans="1:3" x14ac:dyDescent="0.2">
      <c r="A6" s="22" t="s">
        <v>61</v>
      </c>
      <c r="B6" s="23">
        <v>0.05</v>
      </c>
      <c r="C6" s="24" t="s">
        <v>62</v>
      </c>
    </row>
    <row r="7" spans="1:3" x14ac:dyDescent="0.2">
      <c r="A7" s="22" t="s">
        <v>63</v>
      </c>
      <c r="B7" s="25">
        <v>95</v>
      </c>
      <c r="C7" s="24" t="s">
        <v>64</v>
      </c>
    </row>
  </sheetData>
  <mergeCells count="2">
    <mergeCell ref="A1:C1"/>
    <mergeCell ref="A2:C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6"/>
  <sheetViews>
    <sheetView showGridLines="0" zoomScaleNormal="100" workbookViewId="0">
      <pane ySplit="4" topLeftCell="A5" activePane="bottomLeft" state="frozen"/>
      <selection pane="bottomLeft" activeCell="N13" sqref="N13"/>
    </sheetView>
  </sheetViews>
  <sheetFormatPr baseColWidth="10" defaultColWidth="8.6640625" defaultRowHeight="16" x14ac:dyDescent="0.2"/>
  <cols>
    <col min="1" max="1" width="34" style="2" customWidth="1"/>
    <col min="2" max="2" width="18" style="2" customWidth="1"/>
    <col min="3" max="3" width="11" style="2" customWidth="1"/>
    <col min="4" max="4" width="13" style="2" customWidth="1"/>
    <col min="5" max="5" width="14" style="2" customWidth="1"/>
    <col min="6" max="6" width="13" style="2" customWidth="1"/>
    <col min="7" max="7" width="11" style="2" customWidth="1"/>
    <col min="8" max="8" width="17" style="2" customWidth="1"/>
    <col min="9" max="16384" width="8.6640625" style="2"/>
  </cols>
  <sheetData>
    <row r="1" spans="1:8" ht="20" x14ac:dyDescent="0.2">
      <c r="A1" s="20" t="s">
        <v>65</v>
      </c>
      <c r="B1" s="20"/>
      <c r="C1" s="20"/>
      <c r="D1" s="20"/>
      <c r="E1" s="20"/>
      <c r="F1" s="20"/>
      <c r="G1" s="20"/>
      <c r="H1" s="20"/>
    </row>
    <row r="2" spans="1:8" ht="18" x14ac:dyDescent="0.2">
      <c r="A2" s="6" t="s">
        <v>66</v>
      </c>
      <c r="B2" s="6"/>
      <c r="C2" s="6"/>
      <c r="D2" s="6"/>
      <c r="E2" s="6"/>
      <c r="F2" s="6"/>
      <c r="G2" s="6"/>
      <c r="H2" s="6"/>
    </row>
    <row r="4" spans="1:8" ht="34" x14ac:dyDescent="0.2">
      <c r="A4" s="21" t="s">
        <v>45</v>
      </c>
      <c r="B4" s="21" t="s">
        <v>67</v>
      </c>
      <c r="C4" s="21" t="s">
        <v>19</v>
      </c>
      <c r="D4" s="21" t="s">
        <v>20</v>
      </c>
      <c r="E4" s="21" t="s">
        <v>21</v>
      </c>
      <c r="F4" s="21" t="s">
        <v>22</v>
      </c>
      <c r="G4" s="21" t="s">
        <v>68</v>
      </c>
      <c r="H4" s="21" t="s">
        <v>69</v>
      </c>
    </row>
    <row r="5" spans="1:8" x14ac:dyDescent="0.2">
      <c r="A5" s="11" t="s">
        <v>47</v>
      </c>
      <c r="B5" s="11" t="s">
        <v>70</v>
      </c>
      <c r="C5" s="11" t="s">
        <v>28</v>
      </c>
      <c r="D5" s="26">
        <v>19050</v>
      </c>
      <c r="E5" s="26">
        <v>18978</v>
      </c>
      <c r="F5" s="13">
        <f t="shared" ref="F5:F36" si="0">E5-D5</f>
        <v>-72</v>
      </c>
      <c r="G5" s="15">
        <f t="shared" ref="G5:G36" si="1">IFERROR(F5/D5,0)</f>
        <v>-3.7795275590551181E-3</v>
      </c>
      <c r="H5" s="11" t="str">
        <f>IF(E5=0,"Missing Payment",IF(ABS(G5)&lt;=Assumptions!$B$5,"Matched",IF(F5&lt;0,"Short Payment","Overpayment")))</f>
        <v>Matched</v>
      </c>
    </row>
    <row r="6" spans="1:8" x14ac:dyDescent="0.2">
      <c r="A6" s="11" t="s">
        <v>47</v>
      </c>
      <c r="B6" s="11" t="s">
        <v>70</v>
      </c>
      <c r="C6" s="11" t="s">
        <v>30</v>
      </c>
      <c r="D6" s="26">
        <v>18100</v>
      </c>
      <c r="E6" s="26">
        <v>18060</v>
      </c>
      <c r="F6" s="13">
        <f t="shared" si="0"/>
        <v>-40</v>
      </c>
      <c r="G6" s="15">
        <f t="shared" si="1"/>
        <v>-2.2099447513812156E-3</v>
      </c>
      <c r="H6" s="11" t="str">
        <f>IF(E6=0,"Missing Payment",IF(ABS(G6)&lt;=Assumptions!$B$5,"Matched",IF(F6&lt;0,"Short Payment","Overpayment")))</f>
        <v>Matched</v>
      </c>
    </row>
    <row r="7" spans="1:8" x14ac:dyDescent="0.2">
      <c r="A7" s="11" t="s">
        <v>47</v>
      </c>
      <c r="B7" s="11" t="s">
        <v>70</v>
      </c>
      <c r="C7" s="11" t="s">
        <v>32</v>
      </c>
      <c r="D7" s="26">
        <v>19300</v>
      </c>
      <c r="E7" s="26">
        <v>17760</v>
      </c>
      <c r="F7" s="13">
        <f t="shared" si="0"/>
        <v>-1540</v>
      </c>
      <c r="G7" s="15">
        <f t="shared" si="1"/>
        <v>-7.9792746113989635E-2</v>
      </c>
      <c r="H7" s="11" t="str">
        <f>IF(E7=0,"Missing Payment",IF(ABS(G7)&lt;=Assumptions!$B$5,"Matched",IF(F7&lt;0,"Short Payment","Overpayment")))</f>
        <v>Short Payment</v>
      </c>
    </row>
    <row r="8" spans="1:8" x14ac:dyDescent="0.2">
      <c r="A8" s="11" t="s">
        <v>47</v>
      </c>
      <c r="B8" s="11" t="s">
        <v>70</v>
      </c>
      <c r="C8" s="11" t="s">
        <v>34</v>
      </c>
      <c r="D8" s="26">
        <v>19140</v>
      </c>
      <c r="E8" s="26">
        <v>19200</v>
      </c>
      <c r="F8" s="13">
        <f t="shared" si="0"/>
        <v>60</v>
      </c>
      <c r="G8" s="15">
        <f t="shared" si="1"/>
        <v>3.134796238244514E-3</v>
      </c>
      <c r="H8" s="11" t="str">
        <f>IF(E8=0,"Missing Payment",IF(ABS(G8)&lt;=Assumptions!$B$5,"Matched",IF(F8&lt;0,"Short Payment","Overpayment")))</f>
        <v>Matched</v>
      </c>
    </row>
    <row r="9" spans="1:8" x14ac:dyDescent="0.2">
      <c r="A9" s="11" t="s">
        <v>47</v>
      </c>
      <c r="B9" s="11" t="s">
        <v>70</v>
      </c>
      <c r="C9" s="11" t="s">
        <v>36</v>
      </c>
      <c r="D9" s="26">
        <v>17620</v>
      </c>
      <c r="E9" s="26">
        <v>17609</v>
      </c>
      <c r="F9" s="13">
        <f t="shared" si="0"/>
        <v>-11</v>
      </c>
      <c r="G9" s="15">
        <f t="shared" si="1"/>
        <v>-6.2429057888762772E-4</v>
      </c>
      <c r="H9" s="11" t="str">
        <f>IF(E9=0,"Missing Payment",IF(ABS(G9)&lt;=Assumptions!$B$5,"Matched",IF(F9&lt;0,"Short Payment","Overpayment")))</f>
        <v>Matched</v>
      </c>
    </row>
    <row r="10" spans="1:8" x14ac:dyDescent="0.2">
      <c r="A10" s="11" t="s">
        <v>47</v>
      </c>
      <c r="B10" s="11" t="s">
        <v>70</v>
      </c>
      <c r="C10" s="11" t="s">
        <v>38</v>
      </c>
      <c r="D10" s="26">
        <v>17470</v>
      </c>
      <c r="E10" s="26">
        <v>17431</v>
      </c>
      <c r="F10" s="13">
        <f t="shared" si="0"/>
        <v>-39</v>
      </c>
      <c r="G10" s="15">
        <f t="shared" si="1"/>
        <v>-2.2323983972524328E-3</v>
      </c>
      <c r="H10" s="11" t="str">
        <f>IF(E10=0,"Missing Payment",IF(ABS(G10)&lt;=Assumptions!$B$5,"Matched",IF(F10&lt;0,"Short Payment","Overpayment")))</f>
        <v>Matched</v>
      </c>
    </row>
    <row r="11" spans="1:8" x14ac:dyDescent="0.2">
      <c r="A11" s="11" t="s">
        <v>47</v>
      </c>
      <c r="B11" s="11" t="s">
        <v>70</v>
      </c>
      <c r="C11" s="11" t="s">
        <v>40</v>
      </c>
      <c r="D11" s="26">
        <v>18700</v>
      </c>
      <c r="E11" s="26">
        <v>18629</v>
      </c>
      <c r="F11" s="13">
        <f t="shared" si="0"/>
        <v>-71</v>
      </c>
      <c r="G11" s="15">
        <f t="shared" si="1"/>
        <v>-3.7967914438502672E-3</v>
      </c>
      <c r="H11" s="11" t="str">
        <f>IF(E11=0,"Missing Payment",IF(ABS(G11)&lt;=Assumptions!$B$5,"Matched",IF(F11&lt;0,"Short Payment","Overpayment")))</f>
        <v>Matched</v>
      </c>
    </row>
    <row r="12" spans="1:8" x14ac:dyDescent="0.2">
      <c r="A12" s="11" t="s">
        <v>47</v>
      </c>
      <c r="B12" s="11" t="s">
        <v>70</v>
      </c>
      <c r="C12" s="11" t="s">
        <v>42</v>
      </c>
      <c r="D12" s="26">
        <v>17900</v>
      </c>
      <c r="E12" s="26">
        <v>17921</v>
      </c>
      <c r="F12" s="13">
        <f t="shared" si="0"/>
        <v>21</v>
      </c>
      <c r="G12" s="15">
        <f t="shared" si="1"/>
        <v>1.1731843575418994E-3</v>
      </c>
      <c r="H12" s="11" t="str">
        <f>IF(E12=0,"Missing Payment",IF(ABS(G12)&lt;=Assumptions!$B$5,"Matched",IF(F12&lt;0,"Short Payment","Overpayment")))</f>
        <v>Matched</v>
      </c>
    </row>
    <row r="13" spans="1:8" x14ac:dyDescent="0.2">
      <c r="A13" s="11" t="s">
        <v>47</v>
      </c>
      <c r="B13" s="11" t="s">
        <v>70</v>
      </c>
      <c r="C13" s="11" t="s">
        <v>43</v>
      </c>
      <c r="D13" s="26">
        <v>18800</v>
      </c>
      <c r="E13" s="26">
        <v>18758</v>
      </c>
      <c r="F13" s="13">
        <f t="shared" si="0"/>
        <v>-42</v>
      </c>
      <c r="G13" s="15">
        <f t="shared" si="1"/>
        <v>-2.2340425531914895E-3</v>
      </c>
      <c r="H13" s="11" t="str">
        <f>IF(E13=0,"Missing Payment",IF(ABS(G13)&lt;=Assumptions!$B$5,"Matched",IF(F13&lt;0,"Short Payment","Overpayment")))</f>
        <v>Matched</v>
      </c>
    </row>
    <row r="14" spans="1:8" x14ac:dyDescent="0.2">
      <c r="A14" s="11" t="s">
        <v>48</v>
      </c>
      <c r="B14" s="11" t="s">
        <v>70</v>
      </c>
      <c r="C14" s="11" t="s">
        <v>28</v>
      </c>
      <c r="D14" s="26">
        <v>12470</v>
      </c>
      <c r="E14" s="26">
        <v>12501</v>
      </c>
      <c r="F14" s="13">
        <f t="shared" si="0"/>
        <v>31</v>
      </c>
      <c r="G14" s="15">
        <f t="shared" si="1"/>
        <v>2.4859663191659984E-3</v>
      </c>
      <c r="H14" s="11" t="str">
        <f>IF(E14=0,"Missing Payment",IF(ABS(G14)&lt;=Assumptions!$B$5,"Matched",IF(F14&lt;0,"Short Payment","Overpayment")))</f>
        <v>Matched</v>
      </c>
    </row>
    <row r="15" spans="1:8" x14ac:dyDescent="0.2">
      <c r="A15" s="11" t="s">
        <v>48</v>
      </c>
      <c r="B15" s="11" t="s">
        <v>70</v>
      </c>
      <c r="C15" s="11" t="s">
        <v>30</v>
      </c>
      <c r="D15" s="26">
        <v>11480</v>
      </c>
      <c r="E15" s="26">
        <v>11508</v>
      </c>
      <c r="F15" s="13">
        <f t="shared" si="0"/>
        <v>28</v>
      </c>
      <c r="G15" s="15">
        <f t="shared" si="1"/>
        <v>2.4390243902439024E-3</v>
      </c>
      <c r="H15" s="11" t="str">
        <f>IF(E15=0,"Missing Payment",IF(ABS(G15)&lt;=Assumptions!$B$5,"Matched",IF(F15&lt;0,"Short Payment","Overpayment")))</f>
        <v>Matched</v>
      </c>
    </row>
    <row r="16" spans="1:8" x14ac:dyDescent="0.2">
      <c r="A16" s="11" t="s">
        <v>48</v>
      </c>
      <c r="B16" s="11" t="s">
        <v>70</v>
      </c>
      <c r="C16" s="11" t="s">
        <v>32</v>
      </c>
      <c r="D16" s="26">
        <v>12660</v>
      </c>
      <c r="E16" s="26">
        <v>12644</v>
      </c>
      <c r="F16" s="13">
        <f t="shared" si="0"/>
        <v>-16</v>
      </c>
      <c r="G16" s="15">
        <f t="shared" si="1"/>
        <v>-1.263823064770932E-3</v>
      </c>
      <c r="H16" s="11" t="str">
        <f>IF(E16=0,"Missing Payment",IF(ABS(G16)&lt;=Assumptions!$B$5,"Matched",IF(F16&lt;0,"Short Payment","Overpayment")))</f>
        <v>Matched</v>
      </c>
    </row>
    <row r="17" spans="1:8" x14ac:dyDescent="0.2">
      <c r="A17" s="11" t="s">
        <v>48</v>
      </c>
      <c r="B17" s="11" t="s">
        <v>70</v>
      </c>
      <c r="C17" s="11" t="s">
        <v>34</v>
      </c>
      <c r="D17" s="26">
        <v>11730</v>
      </c>
      <c r="E17" s="26">
        <v>11773</v>
      </c>
      <c r="F17" s="13">
        <f t="shared" si="0"/>
        <v>43</v>
      </c>
      <c r="G17" s="15">
        <f t="shared" si="1"/>
        <v>3.6658141517476556E-3</v>
      </c>
      <c r="H17" s="11" t="str">
        <f>IF(E17=0,"Missing Payment",IF(ABS(G17)&lt;=Assumptions!$B$5,"Matched",IF(F17&lt;0,"Short Payment","Overpayment")))</f>
        <v>Matched</v>
      </c>
    </row>
    <row r="18" spans="1:8" x14ac:dyDescent="0.2">
      <c r="A18" s="11" t="s">
        <v>48</v>
      </c>
      <c r="B18" s="11" t="s">
        <v>70</v>
      </c>
      <c r="C18" s="11" t="s">
        <v>36</v>
      </c>
      <c r="D18" s="26">
        <v>12040</v>
      </c>
      <c r="E18" s="26">
        <v>12001</v>
      </c>
      <c r="F18" s="13">
        <f t="shared" si="0"/>
        <v>-39</v>
      </c>
      <c r="G18" s="15">
        <f t="shared" si="1"/>
        <v>-3.2392026578073091E-3</v>
      </c>
      <c r="H18" s="11" t="str">
        <f>IF(E18=0,"Missing Payment",IF(ABS(G18)&lt;=Assumptions!$B$5,"Matched",IF(F18&lt;0,"Short Payment","Overpayment")))</f>
        <v>Matched</v>
      </c>
    </row>
    <row r="19" spans="1:8" x14ac:dyDescent="0.2">
      <c r="A19" s="11" t="s">
        <v>48</v>
      </c>
      <c r="B19" s="11" t="s">
        <v>70</v>
      </c>
      <c r="C19" s="11" t="s">
        <v>38</v>
      </c>
      <c r="D19" s="26">
        <v>11630</v>
      </c>
      <c r="E19" s="26">
        <v>11662</v>
      </c>
      <c r="F19" s="13">
        <f t="shared" si="0"/>
        <v>32</v>
      </c>
      <c r="G19" s="15">
        <f t="shared" si="1"/>
        <v>2.7515047291487532E-3</v>
      </c>
      <c r="H19" s="11" t="str">
        <f>IF(E19=0,"Missing Payment",IF(ABS(G19)&lt;=Assumptions!$B$5,"Matched",IF(F19&lt;0,"Short Payment","Overpayment")))</f>
        <v>Matched</v>
      </c>
    </row>
    <row r="20" spans="1:8" x14ac:dyDescent="0.2">
      <c r="A20" s="11" t="s">
        <v>48</v>
      </c>
      <c r="B20" s="11" t="s">
        <v>70</v>
      </c>
      <c r="C20" s="11" t="s">
        <v>40</v>
      </c>
      <c r="D20" s="26">
        <v>12500</v>
      </c>
      <c r="E20" s="26">
        <v>12531</v>
      </c>
      <c r="F20" s="13">
        <f t="shared" si="0"/>
        <v>31</v>
      </c>
      <c r="G20" s="15">
        <f t="shared" si="1"/>
        <v>2.48E-3</v>
      </c>
      <c r="H20" s="11" t="str">
        <f>IF(E20=0,"Missing Payment",IF(ABS(G20)&lt;=Assumptions!$B$5,"Matched",IF(F20&lt;0,"Short Payment","Overpayment")))</f>
        <v>Matched</v>
      </c>
    </row>
    <row r="21" spans="1:8" x14ac:dyDescent="0.2">
      <c r="A21" s="11" t="s">
        <v>48</v>
      </c>
      <c r="B21" s="11" t="s">
        <v>70</v>
      </c>
      <c r="C21" s="11" t="s">
        <v>42</v>
      </c>
      <c r="D21" s="26">
        <v>12710</v>
      </c>
      <c r="E21" s="26">
        <v>12714</v>
      </c>
      <c r="F21" s="13">
        <f t="shared" si="0"/>
        <v>4</v>
      </c>
      <c r="G21" s="15">
        <f t="shared" si="1"/>
        <v>3.1471282454760031E-4</v>
      </c>
      <c r="H21" s="11" t="str">
        <f>IF(E21=0,"Missing Payment",IF(ABS(G21)&lt;=Assumptions!$B$5,"Matched",IF(F21&lt;0,"Short Payment","Overpayment")))</f>
        <v>Matched</v>
      </c>
    </row>
    <row r="22" spans="1:8" x14ac:dyDescent="0.2">
      <c r="A22" s="11" t="s">
        <v>48</v>
      </c>
      <c r="B22" s="11" t="s">
        <v>70</v>
      </c>
      <c r="C22" s="11" t="s">
        <v>43</v>
      </c>
      <c r="D22" s="26">
        <v>13130</v>
      </c>
      <c r="E22" s="26">
        <v>11820</v>
      </c>
      <c r="F22" s="13">
        <f t="shared" si="0"/>
        <v>-1310</v>
      </c>
      <c r="G22" s="15">
        <f t="shared" si="1"/>
        <v>-9.977151561309977E-2</v>
      </c>
      <c r="H22" s="11" t="str">
        <f>IF(E22=0,"Missing Payment",IF(ABS(G22)&lt;=Assumptions!$B$5,"Matched",IF(F22&lt;0,"Short Payment","Overpayment")))</f>
        <v>Short Payment</v>
      </c>
    </row>
    <row r="23" spans="1:8" x14ac:dyDescent="0.2">
      <c r="A23" s="11" t="s">
        <v>49</v>
      </c>
      <c r="B23" s="11" t="s">
        <v>71</v>
      </c>
      <c r="C23" s="11" t="s">
        <v>28</v>
      </c>
      <c r="D23" s="26">
        <v>9330</v>
      </c>
      <c r="E23" s="26">
        <v>9334</v>
      </c>
      <c r="F23" s="13">
        <f t="shared" si="0"/>
        <v>4</v>
      </c>
      <c r="G23" s="15">
        <f t="shared" si="1"/>
        <v>4.2872454448017146E-4</v>
      </c>
      <c r="H23" s="11" t="str">
        <f>IF(E23=0,"Missing Payment",IF(ABS(G23)&lt;=Assumptions!$B$5,"Matched",IF(F23&lt;0,"Short Payment","Overpayment")))</f>
        <v>Matched</v>
      </c>
    </row>
    <row r="24" spans="1:8" x14ac:dyDescent="0.2">
      <c r="A24" s="11" t="s">
        <v>49</v>
      </c>
      <c r="B24" s="11" t="s">
        <v>71</v>
      </c>
      <c r="C24" s="11" t="s">
        <v>30</v>
      </c>
      <c r="D24" s="26">
        <v>9930</v>
      </c>
      <c r="E24" s="26">
        <v>9939</v>
      </c>
      <c r="F24" s="13">
        <f t="shared" si="0"/>
        <v>9</v>
      </c>
      <c r="G24" s="15">
        <f t="shared" si="1"/>
        <v>9.0634441087613293E-4</v>
      </c>
      <c r="H24" s="11" t="str">
        <f>IF(E24=0,"Missing Payment",IF(ABS(G24)&lt;=Assumptions!$B$5,"Matched",IF(F24&lt;0,"Short Payment","Overpayment")))</f>
        <v>Matched</v>
      </c>
    </row>
    <row r="25" spans="1:8" x14ac:dyDescent="0.2">
      <c r="A25" s="11" t="s">
        <v>49</v>
      </c>
      <c r="B25" s="11" t="s">
        <v>71</v>
      </c>
      <c r="C25" s="11" t="s">
        <v>32</v>
      </c>
      <c r="D25" s="26">
        <v>9970</v>
      </c>
      <c r="E25" s="26">
        <v>9976</v>
      </c>
      <c r="F25" s="13">
        <f t="shared" si="0"/>
        <v>6</v>
      </c>
      <c r="G25" s="15">
        <f t="shared" si="1"/>
        <v>6.0180541624874626E-4</v>
      </c>
      <c r="H25" s="11" t="str">
        <f>IF(E25=0,"Missing Payment",IF(ABS(G25)&lt;=Assumptions!$B$5,"Matched",IF(F25&lt;0,"Short Payment","Overpayment")))</f>
        <v>Matched</v>
      </c>
    </row>
    <row r="26" spans="1:8" x14ac:dyDescent="0.2">
      <c r="A26" s="11" t="s">
        <v>49</v>
      </c>
      <c r="B26" s="11" t="s">
        <v>71</v>
      </c>
      <c r="C26" s="11" t="s">
        <v>34</v>
      </c>
      <c r="D26" s="26">
        <v>9760</v>
      </c>
      <c r="E26" s="26">
        <v>9725</v>
      </c>
      <c r="F26" s="13">
        <f t="shared" si="0"/>
        <v>-35</v>
      </c>
      <c r="G26" s="15">
        <f t="shared" si="1"/>
        <v>-3.5860655737704919E-3</v>
      </c>
      <c r="H26" s="11" t="str">
        <f>IF(E26=0,"Missing Payment",IF(ABS(G26)&lt;=Assumptions!$B$5,"Matched",IF(F26&lt;0,"Short Payment","Overpayment")))</f>
        <v>Matched</v>
      </c>
    </row>
    <row r="27" spans="1:8" x14ac:dyDescent="0.2">
      <c r="A27" s="11" t="s">
        <v>49</v>
      </c>
      <c r="B27" s="11" t="s">
        <v>71</v>
      </c>
      <c r="C27" s="11" t="s">
        <v>36</v>
      </c>
      <c r="D27" s="26">
        <v>9140</v>
      </c>
      <c r="E27" s="26">
        <v>0</v>
      </c>
      <c r="F27" s="13">
        <f t="shared" si="0"/>
        <v>-9140</v>
      </c>
      <c r="G27" s="15">
        <f t="shared" si="1"/>
        <v>-1</v>
      </c>
      <c r="H27" s="11" t="str">
        <f>IF(E27=0,"Missing Payment",IF(ABS(G27)&lt;=Assumptions!$B$5,"Matched",IF(F27&lt;0,"Short Payment","Overpayment")))</f>
        <v>Missing Payment</v>
      </c>
    </row>
    <row r="28" spans="1:8" x14ac:dyDescent="0.2">
      <c r="A28" s="11" t="s">
        <v>49</v>
      </c>
      <c r="B28" s="11" t="s">
        <v>71</v>
      </c>
      <c r="C28" s="11" t="s">
        <v>38</v>
      </c>
      <c r="D28" s="26">
        <v>9220</v>
      </c>
      <c r="E28" s="26">
        <v>9189</v>
      </c>
      <c r="F28" s="13">
        <f t="shared" si="0"/>
        <v>-31</v>
      </c>
      <c r="G28" s="15">
        <f t="shared" si="1"/>
        <v>-3.3622559652928415E-3</v>
      </c>
      <c r="H28" s="11" t="str">
        <f>IF(E28=0,"Missing Payment",IF(ABS(G28)&lt;=Assumptions!$B$5,"Matched",IF(F28&lt;0,"Short Payment","Overpayment")))</f>
        <v>Matched</v>
      </c>
    </row>
    <row r="29" spans="1:8" x14ac:dyDescent="0.2">
      <c r="A29" s="11" t="s">
        <v>49</v>
      </c>
      <c r="B29" s="11" t="s">
        <v>71</v>
      </c>
      <c r="C29" s="11" t="s">
        <v>40</v>
      </c>
      <c r="D29" s="26">
        <v>9140</v>
      </c>
      <c r="E29" s="26">
        <v>9111</v>
      </c>
      <c r="F29" s="13">
        <f t="shared" si="0"/>
        <v>-29</v>
      </c>
      <c r="G29" s="15">
        <f t="shared" si="1"/>
        <v>-3.1728665207877461E-3</v>
      </c>
      <c r="H29" s="11" t="str">
        <f>IF(E29=0,"Missing Payment",IF(ABS(G29)&lt;=Assumptions!$B$5,"Matched",IF(F29&lt;0,"Short Payment","Overpayment")))</f>
        <v>Matched</v>
      </c>
    </row>
    <row r="30" spans="1:8" x14ac:dyDescent="0.2">
      <c r="A30" s="11" t="s">
        <v>49</v>
      </c>
      <c r="B30" s="11" t="s">
        <v>71</v>
      </c>
      <c r="C30" s="11" t="s">
        <v>42</v>
      </c>
      <c r="D30" s="26">
        <v>9200</v>
      </c>
      <c r="E30" s="26">
        <v>9210</v>
      </c>
      <c r="F30" s="13">
        <f t="shared" si="0"/>
        <v>10</v>
      </c>
      <c r="G30" s="15">
        <f t="shared" si="1"/>
        <v>1.0869565217391304E-3</v>
      </c>
      <c r="H30" s="11" t="str">
        <f>IF(E30=0,"Missing Payment",IF(ABS(G30)&lt;=Assumptions!$B$5,"Matched",IF(F30&lt;0,"Short Payment","Overpayment")))</f>
        <v>Matched</v>
      </c>
    </row>
    <row r="31" spans="1:8" x14ac:dyDescent="0.2">
      <c r="A31" s="11" t="s">
        <v>49</v>
      </c>
      <c r="B31" s="11" t="s">
        <v>71</v>
      </c>
      <c r="C31" s="11" t="s">
        <v>43</v>
      </c>
      <c r="D31" s="26">
        <v>9320</v>
      </c>
      <c r="E31" s="26">
        <v>9310</v>
      </c>
      <c r="F31" s="13">
        <f t="shared" si="0"/>
        <v>-10</v>
      </c>
      <c r="G31" s="15">
        <f t="shared" si="1"/>
        <v>-1.0729613733905579E-3</v>
      </c>
      <c r="H31" s="11" t="str">
        <f>IF(E31=0,"Missing Payment",IF(ABS(G31)&lt;=Assumptions!$B$5,"Matched",IF(F31&lt;0,"Short Payment","Overpayment")))</f>
        <v>Matched</v>
      </c>
    </row>
    <row r="32" spans="1:8" x14ac:dyDescent="0.2">
      <c r="A32" s="11" t="s">
        <v>50</v>
      </c>
      <c r="B32" s="11" t="s">
        <v>72</v>
      </c>
      <c r="C32" s="11" t="s">
        <v>28</v>
      </c>
      <c r="D32" s="26">
        <v>7560</v>
      </c>
      <c r="E32" s="26">
        <v>7546</v>
      </c>
      <c r="F32" s="13">
        <f t="shared" si="0"/>
        <v>-14</v>
      </c>
      <c r="G32" s="15">
        <f t="shared" si="1"/>
        <v>-1.8518518518518519E-3</v>
      </c>
      <c r="H32" s="11" t="str">
        <f>IF(E32=0,"Missing Payment",IF(ABS(G32)&lt;=Assumptions!$B$5,"Matched",IF(F32&lt;0,"Short Payment","Overpayment")))</f>
        <v>Matched</v>
      </c>
    </row>
    <row r="33" spans="1:8" x14ac:dyDescent="0.2">
      <c r="A33" s="11" t="s">
        <v>50</v>
      </c>
      <c r="B33" s="11" t="s">
        <v>72</v>
      </c>
      <c r="C33" s="11" t="s">
        <v>30</v>
      </c>
      <c r="D33" s="26">
        <v>8350</v>
      </c>
      <c r="E33" s="26">
        <v>8360</v>
      </c>
      <c r="F33" s="13">
        <f t="shared" si="0"/>
        <v>10</v>
      </c>
      <c r="G33" s="15">
        <f t="shared" si="1"/>
        <v>1.1976047904191617E-3</v>
      </c>
      <c r="H33" s="11" t="str">
        <f>IF(E33=0,"Missing Payment",IF(ABS(G33)&lt;=Assumptions!$B$5,"Matched",IF(F33&lt;0,"Short Payment","Overpayment")))</f>
        <v>Matched</v>
      </c>
    </row>
    <row r="34" spans="1:8" x14ac:dyDescent="0.2">
      <c r="A34" s="11" t="s">
        <v>50</v>
      </c>
      <c r="B34" s="11" t="s">
        <v>72</v>
      </c>
      <c r="C34" s="11" t="s">
        <v>32</v>
      </c>
      <c r="D34" s="26">
        <v>8000</v>
      </c>
      <c r="E34" s="26">
        <v>7760</v>
      </c>
      <c r="F34" s="13">
        <f t="shared" si="0"/>
        <v>-240</v>
      </c>
      <c r="G34" s="15">
        <f t="shared" si="1"/>
        <v>-0.03</v>
      </c>
      <c r="H34" s="11" t="str">
        <f>IF(E34=0,"Missing Payment",IF(ABS(G34)&lt;=Assumptions!$B$5,"Matched",IF(F34&lt;0,"Short Payment","Overpayment")))</f>
        <v>Short Payment</v>
      </c>
    </row>
    <row r="35" spans="1:8" x14ac:dyDescent="0.2">
      <c r="A35" s="11" t="s">
        <v>50</v>
      </c>
      <c r="B35" s="11" t="s">
        <v>72</v>
      </c>
      <c r="C35" s="11" t="s">
        <v>34</v>
      </c>
      <c r="D35" s="26">
        <v>7520</v>
      </c>
      <c r="E35" s="26">
        <v>7534</v>
      </c>
      <c r="F35" s="13">
        <f t="shared" si="0"/>
        <v>14</v>
      </c>
      <c r="G35" s="15">
        <f t="shared" si="1"/>
        <v>1.8617021276595746E-3</v>
      </c>
      <c r="H35" s="11" t="str">
        <f>IF(E35=0,"Missing Payment",IF(ABS(G35)&lt;=Assumptions!$B$5,"Matched",IF(F35&lt;0,"Short Payment","Overpayment")))</f>
        <v>Matched</v>
      </c>
    </row>
    <row r="36" spans="1:8" x14ac:dyDescent="0.2">
      <c r="A36" s="11" t="s">
        <v>50</v>
      </c>
      <c r="B36" s="11" t="s">
        <v>72</v>
      </c>
      <c r="C36" s="11" t="s">
        <v>36</v>
      </c>
      <c r="D36" s="26">
        <v>7510</v>
      </c>
      <c r="E36" s="26">
        <v>7503</v>
      </c>
      <c r="F36" s="13">
        <f t="shared" si="0"/>
        <v>-7</v>
      </c>
      <c r="G36" s="15">
        <f t="shared" si="1"/>
        <v>-9.3209054593874831E-4</v>
      </c>
      <c r="H36" s="11" t="str">
        <f>IF(E36=0,"Missing Payment",IF(ABS(G36)&lt;=Assumptions!$B$5,"Matched",IF(F36&lt;0,"Short Payment","Overpayment")))</f>
        <v>Matched</v>
      </c>
    </row>
    <row r="37" spans="1:8" x14ac:dyDescent="0.2">
      <c r="A37" s="11" t="s">
        <v>50</v>
      </c>
      <c r="B37" s="11" t="s">
        <v>72</v>
      </c>
      <c r="C37" s="11" t="s">
        <v>38</v>
      </c>
      <c r="D37" s="26">
        <v>8410</v>
      </c>
      <c r="E37" s="26">
        <v>8419</v>
      </c>
      <c r="F37" s="13">
        <f t="shared" ref="F37:F68" si="2">E37-D37</f>
        <v>9</v>
      </c>
      <c r="G37" s="15">
        <f t="shared" ref="G37:G68" si="3">IFERROR(F37/D37,0)</f>
        <v>1.070154577883472E-3</v>
      </c>
      <c r="H37" s="11" t="str">
        <f>IF(E37=0,"Missing Payment",IF(ABS(G37)&lt;=Assumptions!$B$5,"Matched",IF(F37&lt;0,"Short Payment","Overpayment")))</f>
        <v>Matched</v>
      </c>
    </row>
    <row r="38" spans="1:8" x14ac:dyDescent="0.2">
      <c r="A38" s="11" t="s">
        <v>50</v>
      </c>
      <c r="B38" s="11" t="s">
        <v>72</v>
      </c>
      <c r="C38" s="11" t="s">
        <v>40</v>
      </c>
      <c r="D38" s="26">
        <v>7940</v>
      </c>
      <c r="E38" s="26">
        <v>8420</v>
      </c>
      <c r="F38" s="13">
        <f t="shared" si="2"/>
        <v>480</v>
      </c>
      <c r="G38" s="15">
        <f t="shared" si="3"/>
        <v>6.0453400503778336E-2</v>
      </c>
      <c r="H38" s="11" t="str">
        <f>IF(E38=0,"Missing Payment",IF(ABS(G38)&lt;=Assumptions!$B$5,"Matched",IF(F38&lt;0,"Short Payment","Overpayment")))</f>
        <v>Overpayment</v>
      </c>
    </row>
    <row r="39" spans="1:8" x14ac:dyDescent="0.2">
      <c r="A39" s="11" t="s">
        <v>50</v>
      </c>
      <c r="B39" s="11" t="s">
        <v>72</v>
      </c>
      <c r="C39" s="11" t="s">
        <v>42</v>
      </c>
      <c r="D39" s="26">
        <v>8080</v>
      </c>
      <c r="E39" s="26">
        <v>8102</v>
      </c>
      <c r="F39" s="13">
        <f t="shared" si="2"/>
        <v>22</v>
      </c>
      <c r="G39" s="15">
        <f t="shared" si="3"/>
        <v>2.7227722772277226E-3</v>
      </c>
      <c r="H39" s="11" t="str">
        <f>IF(E39=0,"Missing Payment",IF(ABS(G39)&lt;=Assumptions!$B$5,"Matched",IF(F39&lt;0,"Short Payment","Overpayment")))</f>
        <v>Matched</v>
      </c>
    </row>
    <row r="40" spans="1:8" x14ac:dyDescent="0.2">
      <c r="A40" s="11" t="s">
        <v>50</v>
      </c>
      <c r="B40" s="11" t="s">
        <v>72</v>
      </c>
      <c r="C40" s="11" t="s">
        <v>43</v>
      </c>
      <c r="D40" s="26">
        <v>8180</v>
      </c>
      <c r="E40" s="26">
        <v>8162</v>
      </c>
      <c r="F40" s="13">
        <f t="shared" si="2"/>
        <v>-18</v>
      </c>
      <c r="G40" s="15">
        <f t="shared" si="3"/>
        <v>-2.2004889975550121E-3</v>
      </c>
      <c r="H40" s="11" t="str">
        <f>IF(E40=0,"Missing Payment",IF(ABS(G40)&lt;=Assumptions!$B$5,"Matched",IF(F40&lt;0,"Short Payment","Overpayment")))</f>
        <v>Matched</v>
      </c>
    </row>
    <row r="41" spans="1:8" x14ac:dyDescent="0.2">
      <c r="A41" s="11" t="s">
        <v>51</v>
      </c>
      <c r="B41" s="11" t="s">
        <v>73</v>
      </c>
      <c r="C41" s="11" t="s">
        <v>28</v>
      </c>
      <c r="D41" s="26">
        <v>5290</v>
      </c>
      <c r="E41" s="26">
        <v>5282</v>
      </c>
      <c r="F41" s="13">
        <f t="shared" si="2"/>
        <v>-8</v>
      </c>
      <c r="G41" s="15">
        <f t="shared" si="3"/>
        <v>-1.5122873345935729E-3</v>
      </c>
      <c r="H41" s="11" t="str">
        <f>IF(E41=0,"Missing Payment",IF(ABS(G41)&lt;=Assumptions!$B$5,"Matched",IF(F41&lt;0,"Short Payment","Overpayment")))</f>
        <v>Matched</v>
      </c>
    </row>
    <row r="42" spans="1:8" x14ac:dyDescent="0.2">
      <c r="A42" s="11" t="s">
        <v>51</v>
      </c>
      <c r="B42" s="11" t="s">
        <v>73</v>
      </c>
      <c r="C42" s="11" t="s">
        <v>30</v>
      </c>
      <c r="D42" s="26">
        <v>5470</v>
      </c>
      <c r="E42" s="26">
        <v>4810</v>
      </c>
      <c r="F42" s="13">
        <f t="shared" si="2"/>
        <v>-660</v>
      </c>
      <c r="G42" s="15">
        <f t="shared" si="3"/>
        <v>-0.1206581352833638</v>
      </c>
      <c r="H42" s="11" t="str">
        <f>IF(E42=0,"Missing Payment",IF(ABS(G42)&lt;=Assumptions!$B$5,"Matched",IF(F42&lt;0,"Short Payment","Overpayment")))</f>
        <v>Short Payment</v>
      </c>
    </row>
    <row r="43" spans="1:8" x14ac:dyDescent="0.2">
      <c r="A43" s="11" t="s">
        <v>51</v>
      </c>
      <c r="B43" s="11" t="s">
        <v>73</v>
      </c>
      <c r="C43" s="11" t="s">
        <v>32</v>
      </c>
      <c r="D43" s="26">
        <v>5430</v>
      </c>
      <c r="E43" s="26">
        <v>5449</v>
      </c>
      <c r="F43" s="13">
        <f t="shared" si="2"/>
        <v>19</v>
      </c>
      <c r="G43" s="15">
        <f t="shared" si="3"/>
        <v>3.4990791896869246E-3</v>
      </c>
      <c r="H43" s="11" t="str">
        <f>IF(E43=0,"Missing Payment",IF(ABS(G43)&lt;=Assumptions!$B$5,"Matched",IF(F43&lt;0,"Short Payment","Overpayment")))</f>
        <v>Matched</v>
      </c>
    </row>
    <row r="44" spans="1:8" x14ac:dyDescent="0.2">
      <c r="A44" s="11" t="s">
        <v>51</v>
      </c>
      <c r="B44" s="11" t="s">
        <v>73</v>
      </c>
      <c r="C44" s="11" t="s">
        <v>34</v>
      </c>
      <c r="D44" s="26">
        <v>5950</v>
      </c>
      <c r="E44" s="26">
        <v>5941</v>
      </c>
      <c r="F44" s="13">
        <f t="shared" si="2"/>
        <v>-9</v>
      </c>
      <c r="G44" s="15">
        <f t="shared" si="3"/>
        <v>-1.5126050420168067E-3</v>
      </c>
      <c r="H44" s="11" t="str">
        <f>IF(E44=0,"Missing Payment",IF(ABS(G44)&lt;=Assumptions!$B$5,"Matched",IF(F44&lt;0,"Short Payment","Overpayment")))</f>
        <v>Matched</v>
      </c>
    </row>
    <row r="45" spans="1:8" x14ac:dyDescent="0.2">
      <c r="A45" s="11" t="s">
        <v>51</v>
      </c>
      <c r="B45" s="11" t="s">
        <v>73</v>
      </c>
      <c r="C45" s="11" t="s">
        <v>36</v>
      </c>
      <c r="D45" s="26">
        <v>5780</v>
      </c>
      <c r="E45" s="26">
        <v>5775</v>
      </c>
      <c r="F45" s="13">
        <f t="shared" si="2"/>
        <v>-5</v>
      </c>
      <c r="G45" s="15">
        <f t="shared" si="3"/>
        <v>-8.6505190311418688E-4</v>
      </c>
      <c r="H45" s="11" t="str">
        <f>IF(E45=0,"Missing Payment",IF(ABS(G45)&lt;=Assumptions!$B$5,"Matched",IF(F45&lt;0,"Short Payment","Overpayment")))</f>
        <v>Matched</v>
      </c>
    </row>
    <row r="46" spans="1:8" x14ac:dyDescent="0.2">
      <c r="A46" s="11" t="s">
        <v>51</v>
      </c>
      <c r="B46" s="11" t="s">
        <v>73</v>
      </c>
      <c r="C46" s="11" t="s">
        <v>38</v>
      </c>
      <c r="D46" s="26">
        <v>5980</v>
      </c>
      <c r="E46" s="26">
        <v>5978</v>
      </c>
      <c r="F46" s="13">
        <f t="shared" si="2"/>
        <v>-2</v>
      </c>
      <c r="G46" s="15">
        <f t="shared" si="3"/>
        <v>-3.3444816053511704E-4</v>
      </c>
      <c r="H46" s="11" t="str">
        <f>IF(E46=0,"Missing Payment",IF(ABS(G46)&lt;=Assumptions!$B$5,"Matched",IF(F46&lt;0,"Short Payment","Overpayment")))</f>
        <v>Matched</v>
      </c>
    </row>
    <row r="47" spans="1:8" x14ac:dyDescent="0.2">
      <c r="A47" s="11" t="s">
        <v>51</v>
      </c>
      <c r="B47" s="11" t="s">
        <v>73</v>
      </c>
      <c r="C47" s="11" t="s">
        <v>40</v>
      </c>
      <c r="D47" s="26">
        <v>5470</v>
      </c>
      <c r="E47" s="26">
        <v>5459</v>
      </c>
      <c r="F47" s="13">
        <f t="shared" si="2"/>
        <v>-11</v>
      </c>
      <c r="G47" s="15">
        <f t="shared" si="3"/>
        <v>-2.0109689213893968E-3</v>
      </c>
      <c r="H47" s="11" t="str">
        <f>IF(E47=0,"Missing Payment",IF(ABS(G47)&lt;=Assumptions!$B$5,"Matched",IF(F47&lt;0,"Short Payment","Overpayment")))</f>
        <v>Matched</v>
      </c>
    </row>
    <row r="48" spans="1:8" x14ac:dyDescent="0.2">
      <c r="A48" s="11" t="s">
        <v>51</v>
      </c>
      <c r="B48" s="11" t="s">
        <v>73</v>
      </c>
      <c r="C48" s="11" t="s">
        <v>42</v>
      </c>
      <c r="D48" s="26">
        <v>5700</v>
      </c>
      <c r="E48" s="26">
        <v>5689</v>
      </c>
      <c r="F48" s="13">
        <f t="shared" si="2"/>
        <v>-11</v>
      </c>
      <c r="G48" s="15">
        <f t="shared" si="3"/>
        <v>-1.9298245614035089E-3</v>
      </c>
      <c r="H48" s="11" t="str">
        <f>IF(E48=0,"Missing Payment",IF(ABS(G48)&lt;=Assumptions!$B$5,"Matched",IF(F48&lt;0,"Short Payment","Overpayment")))</f>
        <v>Matched</v>
      </c>
    </row>
    <row r="49" spans="1:8" x14ac:dyDescent="0.2">
      <c r="A49" s="11" t="s">
        <v>51</v>
      </c>
      <c r="B49" s="11" t="s">
        <v>73</v>
      </c>
      <c r="C49" s="11" t="s">
        <v>43</v>
      </c>
      <c r="D49" s="26">
        <v>5720</v>
      </c>
      <c r="E49" s="26">
        <v>5738</v>
      </c>
      <c r="F49" s="13">
        <f t="shared" si="2"/>
        <v>18</v>
      </c>
      <c r="G49" s="15">
        <f t="shared" si="3"/>
        <v>3.1468531468531471E-3</v>
      </c>
      <c r="H49" s="11" t="str">
        <f>IF(E49=0,"Missing Payment",IF(ABS(G49)&lt;=Assumptions!$B$5,"Matched",IF(F49&lt;0,"Short Payment","Overpayment")))</f>
        <v>Matched</v>
      </c>
    </row>
    <row r="50" spans="1:8" x14ac:dyDescent="0.2">
      <c r="A50" s="11" t="s">
        <v>52</v>
      </c>
      <c r="B50" s="11" t="s">
        <v>74</v>
      </c>
      <c r="C50" s="11" t="s">
        <v>28</v>
      </c>
      <c r="D50" s="26">
        <v>6870</v>
      </c>
      <c r="E50" s="26">
        <v>6855</v>
      </c>
      <c r="F50" s="13">
        <f t="shared" si="2"/>
        <v>-15</v>
      </c>
      <c r="G50" s="15">
        <f t="shared" si="3"/>
        <v>-2.1834061135371178E-3</v>
      </c>
      <c r="H50" s="11" t="str">
        <f>IF(E50=0,"Missing Payment",IF(ABS(G50)&lt;=Assumptions!$B$5,"Matched",IF(F50&lt;0,"Short Payment","Overpayment")))</f>
        <v>Matched</v>
      </c>
    </row>
    <row r="51" spans="1:8" x14ac:dyDescent="0.2">
      <c r="A51" s="11" t="s">
        <v>52</v>
      </c>
      <c r="B51" s="11" t="s">
        <v>74</v>
      </c>
      <c r="C51" s="11" t="s">
        <v>30</v>
      </c>
      <c r="D51" s="26">
        <v>7450</v>
      </c>
      <c r="E51" s="26">
        <v>7451</v>
      </c>
      <c r="F51" s="13">
        <f t="shared" si="2"/>
        <v>1</v>
      </c>
      <c r="G51" s="15">
        <f t="shared" si="3"/>
        <v>1.3422818791946307E-4</v>
      </c>
      <c r="H51" s="11" t="str">
        <f>IF(E51=0,"Missing Payment",IF(ABS(G51)&lt;=Assumptions!$B$5,"Matched",IF(F51&lt;0,"Short Payment","Overpayment")))</f>
        <v>Matched</v>
      </c>
    </row>
    <row r="52" spans="1:8" x14ac:dyDescent="0.2">
      <c r="A52" s="11" t="s">
        <v>52</v>
      </c>
      <c r="B52" s="11" t="s">
        <v>74</v>
      </c>
      <c r="C52" s="11" t="s">
        <v>32</v>
      </c>
      <c r="D52" s="26">
        <v>6570</v>
      </c>
      <c r="E52" s="26">
        <v>6546</v>
      </c>
      <c r="F52" s="13">
        <f t="shared" si="2"/>
        <v>-24</v>
      </c>
      <c r="G52" s="15">
        <f t="shared" si="3"/>
        <v>-3.6529680365296802E-3</v>
      </c>
      <c r="H52" s="11" t="str">
        <f>IF(E52=0,"Missing Payment",IF(ABS(G52)&lt;=Assumptions!$B$5,"Matched",IF(F52&lt;0,"Short Payment","Overpayment")))</f>
        <v>Matched</v>
      </c>
    </row>
    <row r="53" spans="1:8" x14ac:dyDescent="0.2">
      <c r="A53" s="11" t="s">
        <v>52</v>
      </c>
      <c r="B53" s="11" t="s">
        <v>74</v>
      </c>
      <c r="C53" s="11" t="s">
        <v>34</v>
      </c>
      <c r="D53" s="26">
        <v>6590</v>
      </c>
      <c r="E53" s="26">
        <v>6597</v>
      </c>
      <c r="F53" s="13">
        <f t="shared" si="2"/>
        <v>7</v>
      </c>
      <c r="G53" s="15">
        <f t="shared" si="3"/>
        <v>1.0622154779969652E-3</v>
      </c>
      <c r="H53" s="11" t="str">
        <f>IF(E53=0,"Missing Payment",IF(ABS(G53)&lt;=Assumptions!$B$5,"Matched",IF(F53&lt;0,"Short Payment","Overpayment")))</f>
        <v>Matched</v>
      </c>
    </row>
    <row r="54" spans="1:8" x14ac:dyDescent="0.2">
      <c r="A54" s="11" t="s">
        <v>52</v>
      </c>
      <c r="B54" s="11" t="s">
        <v>74</v>
      </c>
      <c r="C54" s="11" t="s">
        <v>36</v>
      </c>
      <c r="D54" s="26">
        <v>7250</v>
      </c>
      <c r="E54" s="26">
        <v>7245</v>
      </c>
      <c r="F54" s="13">
        <f t="shared" si="2"/>
        <v>-5</v>
      </c>
      <c r="G54" s="15">
        <f t="shared" si="3"/>
        <v>-6.8965517241379305E-4</v>
      </c>
      <c r="H54" s="11" t="str">
        <f>IF(E54=0,"Missing Payment",IF(ABS(G54)&lt;=Assumptions!$B$5,"Matched",IF(F54&lt;0,"Short Payment","Overpayment")))</f>
        <v>Matched</v>
      </c>
    </row>
    <row r="55" spans="1:8" x14ac:dyDescent="0.2">
      <c r="A55" s="11" t="s">
        <v>52</v>
      </c>
      <c r="B55" s="11" t="s">
        <v>74</v>
      </c>
      <c r="C55" s="11" t="s">
        <v>38</v>
      </c>
      <c r="D55" s="26">
        <v>6550</v>
      </c>
      <c r="E55" s="26">
        <v>6544</v>
      </c>
      <c r="F55" s="13">
        <f t="shared" si="2"/>
        <v>-6</v>
      </c>
      <c r="G55" s="15">
        <f t="shared" si="3"/>
        <v>-9.1603053435114501E-4</v>
      </c>
      <c r="H55" s="11" t="str">
        <f>IF(E55=0,"Missing Payment",IF(ABS(G55)&lt;=Assumptions!$B$5,"Matched",IF(F55&lt;0,"Short Payment","Overpayment")))</f>
        <v>Matched</v>
      </c>
    </row>
    <row r="56" spans="1:8" x14ac:dyDescent="0.2">
      <c r="A56" s="11" t="s">
        <v>52</v>
      </c>
      <c r="B56" s="11" t="s">
        <v>74</v>
      </c>
      <c r="C56" s="11" t="s">
        <v>40</v>
      </c>
      <c r="D56" s="26">
        <v>7450</v>
      </c>
      <c r="E56" s="26">
        <v>7452</v>
      </c>
      <c r="F56" s="13">
        <f t="shared" si="2"/>
        <v>2</v>
      </c>
      <c r="G56" s="15">
        <f t="shared" si="3"/>
        <v>2.6845637583892615E-4</v>
      </c>
      <c r="H56" s="11" t="str">
        <f>IF(E56=0,"Missing Payment",IF(ABS(G56)&lt;=Assumptions!$B$5,"Matched",IF(F56&lt;0,"Short Payment","Overpayment")))</f>
        <v>Matched</v>
      </c>
    </row>
    <row r="57" spans="1:8" x14ac:dyDescent="0.2">
      <c r="A57" s="11" t="s">
        <v>52</v>
      </c>
      <c r="B57" s="11" t="s">
        <v>74</v>
      </c>
      <c r="C57" s="11" t="s">
        <v>42</v>
      </c>
      <c r="D57" s="26">
        <v>7420</v>
      </c>
      <c r="E57" s="26">
        <v>0</v>
      </c>
      <c r="F57" s="13">
        <f t="shared" si="2"/>
        <v>-7420</v>
      </c>
      <c r="G57" s="15">
        <f t="shared" si="3"/>
        <v>-1</v>
      </c>
      <c r="H57" s="11" t="str">
        <f>IF(E57=0,"Missing Payment",IF(ABS(G57)&lt;=Assumptions!$B$5,"Matched",IF(F57&lt;0,"Short Payment","Overpayment")))</f>
        <v>Missing Payment</v>
      </c>
    </row>
    <row r="58" spans="1:8" x14ac:dyDescent="0.2">
      <c r="A58" s="11" t="s">
        <v>52</v>
      </c>
      <c r="B58" s="11" t="s">
        <v>74</v>
      </c>
      <c r="C58" s="11" t="s">
        <v>43</v>
      </c>
      <c r="D58" s="26">
        <v>7320</v>
      </c>
      <c r="E58" s="26">
        <v>7291</v>
      </c>
      <c r="F58" s="13">
        <f t="shared" si="2"/>
        <v>-29</v>
      </c>
      <c r="G58" s="15">
        <f t="shared" si="3"/>
        <v>-3.9617486338797813E-3</v>
      </c>
      <c r="H58" s="11" t="str">
        <f>IF(E58=0,"Missing Payment",IF(ABS(G58)&lt;=Assumptions!$B$5,"Matched",IF(F58&lt;0,"Short Payment","Overpayment")))</f>
        <v>Matched</v>
      </c>
    </row>
    <row r="59" spans="1:8" x14ac:dyDescent="0.2">
      <c r="A59" s="11" t="s">
        <v>53</v>
      </c>
      <c r="B59" s="11" t="s">
        <v>75</v>
      </c>
      <c r="C59" s="11" t="s">
        <v>28</v>
      </c>
      <c r="D59" s="26">
        <v>4480</v>
      </c>
      <c r="E59" s="26">
        <v>4487</v>
      </c>
      <c r="F59" s="13">
        <f t="shared" si="2"/>
        <v>7</v>
      </c>
      <c r="G59" s="15">
        <f t="shared" si="3"/>
        <v>1.5625000000000001E-3</v>
      </c>
      <c r="H59" s="11" t="str">
        <f>IF(E59=0,"Missing Payment",IF(ABS(G59)&lt;=Assumptions!$B$5,"Matched",IF(F59&lt;0,"Short Payment","Overpayment")))</f>
        <v>Matched</v>
      </c>
    </row>
    <row r="60" spans="1:8" x14ac:dyDescent="0.2">
      <c r="A60" s="11" t="s">
        <v>53</v>
      </c>
      <c r="B60" s="11" t="s">
        <v>75</v>
      </c>
      <c r="C60" s="11" t="s">
        <v>30</v>
      </c>
      <c r="D60" s="26">
        <v>4370</v>
      </c>
      <c r="E60" s="26">
        <v>4362</v>
      </c>
      <c r="F60" s="13">
        <f t="shared" si="2"/>
        <v>-8</v>
      </c>
      <c r="G60" s="15">
        <f t="shared" si="3"/>
        <v>-1.8306636155606408E-3</v>
      </c>
      <c r="H60" s="11" t="str">
        <f>IF(E60=0,"Missing Payment",IF(ABS(G60)&lt;=Assumptions!$B$5,"Matched",IF(F60&lt;0,"Short Payment","Overpayment")))</f>
        <v>Matched</v>
      </c>
    </row>
    <row r="61" spans="1:8" x14ac:dyDescent="0.2">
      <c r="A61" s="11" t="s">
        <v>53</v>
      </c>
      <c r="B61" s="11" t="s">
        <v>75</v>
      </c>
      <c r="C61" s="11" t="s">
        <v>32</v>
      </c>
      <c r="D61" s="26">
        <v>4430</v>
      </c>
      <c r="E61" s="26">
        <v>4416</v>
      </c>
      <c r="F61" s="13">
        <f t="shared" si="2"/>
        <v>-14</v>
      </c>
      <c r="G61" s="15">
        <f t="shared" si="3"/>
        <v>-3.1602708803611739E-3</v>
      </c>
      <c r="H61" s="11" t="str">
        <f>IF(E61=0,"Missing Payment",IF(ABS(G61)&lt;=Assumptions!$B$5,"Matched",IF(F61&lt;0,"Short Payment","Overpayment")))</f>
        <v>Matched</v>
      </c>
    </row>
    <row r="62" spans="1:8" x14ac:dyDescent="0.2">
      <c r="A62" s="11" t="s">
        <v>53</v>
      </c>
      <c r="B62" s="11" t="s">
        <v>75</v>
      </c>
      <c r="C62" s="11" t="s">
        <v>34</v>
      </c>
      <c r="D62" s="26">
        <v>4300</v>
      </c>
      <c r="E62" s="26">
        <v>4080</v>
      </c>
      <c r="F62" s="13">
        <f t="shared" si="2"/>
        <v>-220</v>
      </c>
      <c r="G62" s="15">
        <f t="shared" si="3"/>
        <v>-5.1162790697674418E-2</v>
      </c>
      <c r="H62" s="11" t="str">
        <f>IF(E62=0,"Missing Payment",IF(ABS(G62)&lt;=Assumptions!$B$5,"Matched",IF(F62&lt;0,"Short Payment","Overpayment")))</f>
        <v>Short Payment</v>
      </c>
    </row>
    <row r="63" spans="1:8" x14ac:dyDescent="0.2">
      <c r="A63" s="11" t="s">
        <v>53</v>
      </c>
      <c r="B63" s="11" t="s">
        <v>75</v>
      </c>
      <c r="C63" s="11" t="s">
        <v>36</v>
      </c>
      <c r="D63" s="26">
        <v>4320</v>
      </c>
      <c r="E63" s="26">
        <v>4336</v>
      </c>
      <c r="F63" s="13">
        <f t="shared" si="2"/>
        <v>16</v>
      </c>
      <c r="G63" s="15">
        <f t="shared" si="3"/>
        <v>3.7037037037037038E-3</v>
      </c>
      <c r="H63" s="11" t="str">
        <f>IF(E63=0,"Missing Payment",IF(ABS(G63)&lt;=Assumptions!$B$5,"Matched",IF(F63&lt;0,"Short Payment","Overpayment")))</f>
        <v>Matched</v>
      </c>
    </row>
    <row r="64" spans="1:8" x14ac:dyDescent="0.2">
      <c r="A64" s="11" t="s">
        <v>53</v>
      </c>
      <c r="B64" s="11" t="s">
        <v>75</v>
      </c>
      <c r="C64" s="11" t="s">
        <v>38</v>
      </c>
      <c r="D64" s="26">
        <v>4570</v>
      </c>
      <c r="E64" s="26">
        <v>4561</v>
      </c>
      <c r="F64" s="13">
        <f t="shared" si="2"/>
        <v>-9</v>
      </c>
      <c r="G64" s="15">
        <f t="shared" si="3"/>
        <v>-1.9693654266958426E-3</v>
      </c>
      <c r="H64" s="11" t="str">
        <f>IF(E64=0,"Missing Payment",IF(ABS(G64)&lt;=Assumptions!$B$5,"Matched",IF(F64&lt;0,"Short Payment","Overpayment")))</f>
        <v>Matched</v>
      </c>
    </row>
    <row r="65" spans="1:8" x14ac:dyDescent="0.2">
      <c r="A65" s="11" t="s">
        <v>53</v>
      </c>
      <c r="B65" s="11" t="s">
        <v>75</v>
      </c>
      <c r="C65" s="11" t="s">
        <v>40</v>
      </c>
      <c r="D65" s="26">
        <v>4340</v>
      </c>
      <c r="E65" s="26">
        <v>4329</v>
      </c>
      <c r="F65" s="13">
        <f t="shared" si="2"/>
        <v>-11</v>
      </c>
      <c r="G65" s="15">
        <f t="shared" si="3"/>
        <v>-2.534562211981567E-3</v>
      </c>
      <c r="H65" s="11" t="str">
        <f>IF(E65=0,"Missing Payment",IF(ABS(G65)&lt;=Assumptions!$B$5,"Matched",IF(F65&lt;0,"Short Payment","Overpayment")))</f>
        <v>Matched</v>
      </c>
    </row>
    <row r="66" spans="1:8" x14ac:dyDescent="0.2">
      <c r="A66" s="11" t="s">
        <v>53</v>
      </c>
      <c r="B66" s="11" t="s">
        <v>75</v>
      </c>
      <c r="C66" s="11" t="s">
        <v>42</v>
      </c>
      <c r="D66" s="26">
        <v>4590</v>
      </c>
      <c r="E66" s="26">
        <v>4604</v>
      </c>
      <c r="F66" s="13">
        <f t="shared" si="2"/>
        <v>14</v>
      </c>
      <c r="G66" s="15">
        <f t="shared" si="3"/>
        <v>3.0501089324618735E-3</v>
      </c>
      <c r="H66" s="11" t="str">
        <f>IF(E66=0,"Missing Payment",IF(ABS(G66)&lt;=Assumptions!$B$5,"Matched",IF(F66&lt;0,"Short Payment","Overpayment")))</f>
        <v>Matched</v>
      </c>
    </row>
    <row r="67" spans="1:8" x14ac:dyDescent="0.2">
      <c r="A67" s="11" t="s">
        <v>53</v>
      </c>
      <c r="B67" s="11" t="s">
        <v>75</v>
      </c>
      <c r="C67" s="11" t="s">
        <v>43</v>
      </c>
      <c r="D67" s="26">
        <v>4220</v>
      </c>
      <c r="E67" s="26">
        <v>4225</v>
      </c>
      <c r="F67" s="13">
        <f t="shared" si="2"/>
        <v>5</v>
      </c>
      <c r="G67" s="15">
        <f t="shared" si="3"/>
        <v>1.1848341232227489E-3</v>
      </c>
      <c r="H67" s="11" t="str">
        <f>IF(E67=0,"Missing Payment",IF(ABS(G67)&lt;=Assumptions!$B$5,"Matched",IF(F67&lt;0,"Short Payment","Overpayment")))</f>
        <v>Matched</v>
      </c>
    </row>
    <row r="68" spans="1:8" x14ac:dyDescent="0.2">
      <c r="A68" s="11" t="s">
        <v>54</v>
      </c>
      <c r="B68" s="11" t="s">
        <v>70</v>
      </c>
      <c r="C68" s="11" t="s">
        <v>28</v>
      </c>
      <c r="D68" s="26">
        <v>10360</v>
      </c>
      <c r="E68" s="26">
        <v>10331</v>
      </c>
      <c r="F68" s="13">
        <f t="shared" si="2"/>
        <v>-29</v>
      </c>
      <c r="G68" s="15">
        <f t="shared" si="3"/>
        <v>-2.799227799227799E-3</v>
      </c>
      <c r="H68" s="11" t="str">
        <f>IF(E68=0,"Missing Payment",IF(ABS(G68)&lt;=Assumptions!$B$5,"Matched",IF(F68&lt;0,"Short Payment","Overpayment")))</f>
        <v>Matched</v>
      </c>
    </row>
    <row r="69" spans="1:8" x14ac:dyDescent="0.2">
      <c r="A69" s="11" t="s">
        <v>54</v>
      </c>
      <c r="B69" s="11" t="s">
        <v>70</v>
      </c>
      <c r="C69" s="11" t="s">
        <v>30</v>
      </c>
      <c r="D69" s="26">
        <v>10570</v>
      </c>
      <c r="E69" s="26">
        <v>10573</v>
      </c>
      <c r="F69" s="13">
        <f t="shared" ref="F69:F100" si="4">E69-D69</f>
        <v>3</v>
      </c>
      <c r="G69" s="15">
        <f t="shared" ref="G69:G100" si="5">IFERROR(F69/D69,0)</f>
        <v>2.8382213812677389E-4</v>
      </c>
      <c r="H69" s="11" t="str">
        <f>IF(E69=0,"Missing Payment",IF(ABS(G69)&lt;=Assumptions!$B$5,"Matched",IF(F69&lt;0,"Short Payment","Overpayment")))</f>
        <v>Matched</v>
      </c>
    </row>
    <row r="70" spans="1:8" x14ac:dyDescent="0.2">
      <c r="A70" s="11" t="s">
        <v>54</v>
      </c>
      <c r="B70" s="11" t="s">
        <v>70</v>
      </c>
      <c r="C70" s="11" t="s">
        <v>32</v>
      </c>
      <c r="D70" s="26">
        <v>10590</v>
      </c>
      <c r="E70" s="26">
        <v>10593</v>
      </c>
      <c r="F70" s="13">
        <f t="shared" si="4"/>
        <v>3</v>
      </c>
      <c r="G70" s="15">
        <f t="shared" si="5"/>
        <v>2.8328611898016995E-4</v>
      </c>
      <c r="H70" s="11" t="str">
        <f>IF(E70=0,"Missing Payment",IF(ABS(G70)&lt;=Assumptions!$B$5,"Matched",IF(F70&lt;0,"Short Payment","Overpayment")))</f>
        <v>Matched</v>
      </c>
    </row>
    <row r="71" spans="1:8" x14ac:dyDescent="0.2">
      <c r="A71" s="11" t="s">
        <v>54</v>
      </c>
      <c r="B71" s="11" t="s">
        <v>70</v>
      </c>
      <c r="C71" s="11" t="s">
        <v>34</v>
      </c>
      <c r="D71" s="26">
        <v>9490</v>
      </c>
      <c r="E71" s="26">
        <v>9477</v>
      </c>
      <c r="F71" s="13">
        <f t="shared" si="4"/>
        <v>-13</v>
      </c>
      <c r="G71" s="15">
        <f t="shared" si="5"/>
        <v>-1.3698630136986301E-3</v>
      </c>
      <c r="H71" s="11" t="str">
        <f>IF(E71=0,"Missing Payment",IF(ABS(G71)&lt;=Assumptions!$B$5,"Matched",IF(F71&lt;0,"Short Payment","Overpayment")))</f>
        <v>Matched</v>
      </c>
    </row>
    <row r="72" spans="1:8" x14ac:dyDescent="0.2">
      <c r="A72" s="11" t="s">
        <v>54</v>
      </c>
      <c r="B72" s="11" t="s">
        <v>70</v>
      </c>
      <c r="C72" s="11" t="s">
        <v>36</v>
      </c>
      <c r="D72" s="26">
        <v>9520</v>
      </c>
      <c r="E72" s="26">
        <v>9553</v>
      </c>
      <c r="F72" s="13">
        <f t="shared" si="4"/>
        <v>33</v>
      </c>
      <c r="G72" s="15">
        <f t="shared" si="5"/>
        <v>3.4663865546218486E-3</v>
      </c>
      <c r="H72" s="11" t="str">
        <f>IF(E72=0,"Missing Payment",IF(ABS(G72)&lt;=Assumptions!$B$5,"Matched",IF(F72&lt;0,"Short Payment","Overpayment")))</f>
        <v>Matched</v>
      </c>
    </row>
    <row r="73" spans="1:8" x14ac:dyDescent="0.2">
      <c r="A73" s="11" t="s">
        <v>54</v>
      </c>
      <c r="B73" s="11" t="s">
        <v>70</v>
      </c>
      <c r="C73" s="11" t="s">
        <v>38</v>
      </c>
      <c r="D73" s="26">
        <v>10740</v>
      </c>
      <c r="E73" s="26">
        <v>11060</v>
      </c>
      <c r="F73" s="13">
        <f t="shared" si="4"/>
        <v>320</v>
      </c>
      <c r="G73" s="15">
        <f t="shared" si="5"/>
        <v>2.9795158286778398E-2</v>
      </c>
      <c r="H73" s="11" t="str">
        <f>IF(E73=0,"Missing Payment",IF(ABS(G73)&lt;=Assumptions!$B$5,"Matched",IF(F73&lt;0,"Short Payment","Overpayment")))</f>
        <v>Overpayment</v>
      </c>
    </row>
    <row r="74" spans="1:8" x14ac:dyDescent="0.2">
      <c r="A74" s="11" t="s">
        <v>54</v>
      </c>
      <c r="B74" s="11" t="s">
        <v>70</v>
      </c>
      <c r="C74" s="11" t="s">
        <v>40</v>
      </c>
      <c r="D74" s="26">
        <v>10670</v>
      </c>
      <c r="E74" s="26">
        <v>10654</v>
      </c>
      <c r="F74" s="13">
        <f t="shared" si="4"/>
        <v>-16</v>
      </c>
      <c r="G74" s="15">
        <f t="shared" si="5"/>
        <v>-1.499531396438613E-3</v>
      </c>
      <c r="H74" s="11" t="str">
        <f>IF(E74=0,"Missing Payment",IF(ABS(G74)&lt;=Assumptions!$B$5,"Matched",IF(F74&lt;0,"Short Payment","Overpayment")))</f>
        <v>Matched</v>
      </c>
    </row>
    <row r="75" spans="1:8" x14ac:dyDescent="0.2">
      <c r="A75" s="11" t="s">
        <v>54</v>
      </c>
      <c r="B75" s="11" t="s">
        <v>70</v>
      </c>
      <c r="C75" s="11" t="s">
        <v>42</v>
      </c>
      <c r="D75" s="26">
        <v>9580</v>
      </c>
      <c r="E75" s="26">
        <v>9609</v>
      </c>
      <c r="F75" s="13">
        <f t="shared" si="4"/>
        <v>29</v>
      </c>
      <c r="G75" s="15">
        <f t="shared" si="5"/>
        <v>3.0271398747390398E-3</v>
      </c>
      <c r="H75" s="11" t="str">
        <f>IF(E75=0,"Missing Payment",IF(ABS(G75)&lt;=Assumptions!$B$5,"Matched",IF(F75&lt;0,"Short Payment","Overpayment")))</f>
        <v>Matched</v>
      </c>
    </row>
    <row r="76" spans="1:8" x14ac:dyDescent="0.2">
      <c r="A76" s="11" t="s">
        <v>54</v>
      </c>
      <c r="B76" s="11" t="s">
        <v>70</v>
      </c>
      <c r="C76" s="11" t="s">
        <v>43</v>
      </c>
      <c r="D76" s="26">
        <v>10830</v>
      </c>
      <c r="E76" s="26">
        <v>10794</v>
      </c>
      <c r="F76" s="13">
        <f t="shared" si="4"/>
        <v>-36</v>
      </c>
      <c r="G76" s="15">
        <f t="shared" si="5"/>
        <v>-3.3240997229916896E-3</v>
      </c>
      <c r="H76" s="11" t="str">
        <f>IF(E76=0,"Missing Payment",IF(ABS(G76)&lt;=Assumptions!$B$5,"Matched",IF(F76&lt;0,"Short Payment","Overpayment")))</f>
        <v>Matched</v>
      </c>
    </row>
  </sheetData>
  <autoFilter ref="A4:H76" xr:uid="{00000000-0009-0000-0000-000003000000}"/>
  <mergeCells count="2">
    <mergeCell ref="A1:H1"/>
    <mergeCell ref="A2:H2"/>
  </mergeCells>
  <conditionalFormatting sqref="H5:H76">
    <cfRule type="expression" dxfId="4" priority="2">
      <formula>H5="Missing Payment"</formula>
    </cfRule>
    <cfRule type="expression" dxfId="3" priority="3">
      <formula>OR(H5="Short Payment",H5="Overpayment")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0"/>
  <sheetViews>
    <sheetView showGridLines="0" zoomScaleNormal="100" workbookViewId="0">
      <pane ySplit="4" topLeftCell="A5" activePane="bottomLeft" state="frozen"/>
      <selection pane="bottomLeft" activeCell="J10" sqref="J10"/>
    </sheetView>
  </sheetViews>
  <sheetFormatPr baseColWidth="10" defaultColWidth="8.6640625" defaultRowHeight="16" x14ac:dyDescent="0.2"/>
  <cols>
    <col min="1" max="1" width="22" style="2" customWidth="1"/>
    <col min="2" max="2" width="11" style="2" customWidth="1"/>
    <col min="3" max="5" width="13" style="2" customWidth="1"/>
    <col min="6" max="6" width="11" style="2" customWidth="1"/>
    <col min="7" max="7" width="22" style="2" customWidth="1"/>
    <col min="8" max="16384" width="8.6640625" style="2"/>
  </cols>
  <sheetData>
    <row r="1" spans="1:7" ht="20" x14ac:dyDescent="0.2">
      <c r="A1" s="20" t="s">
        <v>76</v>
      </c>
      <c r="B1" s="20"/>
      <c r="C1" s="20"/>
      <c r="D1" s="20"/>
      <c r="E1" s="20"/>
      <c r="F1" s="20"/>
      <c r="G1" s="20"/>
    </row>
    <row r="2" spans="1:7" ht="18" x14ac:dyDescent="0.2">
      <c r="A2" s="6" t="s">
        <v>77</v>
      </c>
      <c r="B2" s="6"/>
      <c r="C2" s="6"/>
      <c r="D2" s="6"/>
      <c r="E2" s="6"/>
      <c r="F2" s="6"/>
      <c r="G2" s="6"/>
    </row>
    <row r="4" spans="1:7" ht="34" x14ac:dyDescent="0.2">
      <c r="A4" s="21" t="s">
        <v>78</v>
      </c>
      <c r="B4" s="21" t="s">
        <v>19</v>
      </c>
      <c r="C4" s="21" t="s">
        <v>24</v>
      </c>
      <c r="D4" s="21" t="s">
        <v>25</v>
      </c>
      <c r="E4" s="21" t="s">
        <v>22</v>
      </c>
      <c r="F4" s="21" t="s">
        <v>68</v>
      </c>
      <c r="G4" s="21" t="s">
        <v>79</v>
      </c>
    </row>
    <row r="5" spans="1:7" x14ac:dyDescent="0.2">
      <c r="A5" s="11" t="s">
        <v>80</v>
      </c>
      <c r="B5" s="11" t="s">
        <v>28</v>
      </c>
      <c r="C5" s="26">
        <v>134900</v>
      </c>
      <c r="D5" s="26">
        <v>134790</v>
      </c>
      <c r="E5" s="13">
        <f t="shared" ref="E5:E40" si="0">D5-C5</f>
        <v>-110</v>
      </c>
      <c r="F5" s="15">
        <f t="shared" ref="F5:F40" si="1">IFERROR(E5/C5,0)</f>
        <v>-8.1541882876204591E-4</v>
      </c>
      <c r="G5" s="11" t="str">
        <f>IF(ABS(F5)&gt;Assumptions!$B$6,IF(E5&lt;0,"Under Budget - Review","Over Budget - Review"),"Within Range")</f>
        <v>Within Range</v>
      </c>
    </row>
    <row r="6" spans="1:7" x14ac:dyDescent="0.2">
      <c r="A6" s="11" t="s">
        <v>80</v>
      </c>
      <c r="B6" s="11" t="s">
        <v>30</v>
      </c>
      <c r="C6" s="26">
        <v>132100</v>
      </c>
      <c r="D6" s="26">
        <v>128690</v>
      </c>
      <c r="E6" s="13">
        <f t="shared" si="0"/>
        <v>-3410</v>
      </c>
      <c r="F6" s="15">
        <f t="shared" si="1"/>
        <v>-2.5813777441332324E-2</v>
      </c>
      <c r="G6" s="11" t="str">
        <f>IF(ABS(F6)&gt;Assumptions!$B$6,IF(E6&lt;0,"Under Budget - Review","Over Budget - Review"),"Within Range")</f>
        <v>Within Range</v>
      </c>
    </row>
    <row r="7" spans="1:7" x14ac:dyDescent="0.2">
      <c r="A7" s="11" t="s">
        <v>80</v>
      </c>
      <c r="B7" s="11" t="s">
        <v>32</v>
      </c>
      <c r="C7" s="26">
        <v>142000</v>
      </c>
      <c r="D7" s="26">
        <v>144220</v>
      </c>
      <c r="E7" s="13">
        <f t="shared" si="0"/>
        <v>2220</v>
      </c>
      <c r="F7" s="15">
        <f t="shared" si="1"/>
        <v>1.563380281690141E-2</v>
      </c>
      <c r="G7" s="11" t="str">
        <f>IF(ABS(F7)&gt;Assumptions!$B$6,IF(E7&lt;0,"Under Budget - Review","Over Budget - Review"),"Within Range")</f>
        <v>Within Range</v>
      </c>
    </row>
    <row r="8" spans="1:7" x14ac:dyDescent="0.2">
      <c r="A8" s="11" t="s">
        <v>80</v>
      </c>
      <c r="B8" s="11" t="s">
        <v>34</v>
      </c>
      <c r="C8" s="26">
        <v>143400</v>
      </c>
      <c r="D8" s="26">
        <v>145690</v>
      </c>
      <c r="E8" s="13">
        <f t="shared" si="0"/>
        <v>2290</v>
      </c>
      <c r="F8" s="15">
        <f t="shared" si="1"/>
        <v>1.5969316596931661E-2</v>
      </c>
      <c r="G8" s="11" t="str">
        <f>IF(ABS(F8)&gt;Assumptions!$B$6,IF(E8&lt;0,"Under Budget - Review","Over Budget - Review"),"Within Range")</f>
        <v>Within Range</v>
      </c>
    </row>
    <row r="9" spans="1:7" x14ac:dyDescent="0.2">
      <c r="A9" s="11" t="s">
        <v>80</v>
      </c>
      <c r="B9" s="11" t="s">
        <v>36</v>
      </c>
      <c r="C9" s="26">
        <v>146300</v>
      </c>
      <c r="D9" s="26">
        <v>143040</v>
      </c>
      <c r="E9" s="13">
        <f t="shared" si="0"/>
        <v>-3260</v>
      </c>
      <c r="F9" s="15">
        <f t="shared" si="1"/>
        <v>-2.2282980177717019E-2</v>
      </c>
      <c r="G9" s="11" t="str">
        <f>IF(ABS(F9)&gt;Assumptions!$B$6,IF(E9&lt;0,"Under Budget - Review","Over Budget - Review"),"Within Range")</f>
        <v>Within Range</v>
      </c>
    </row>
    <row r="10" spans="1:7" x14ac:dyDescent="0.2">
      <c r="A10" s="11" t="s">
        <v>80</v>
      </c>
      <c r="B10" s="11" t="s">
        <v>38</v>
      </c>
      <c r="C10" s="26">
        <v>144800</v>
      </c>
      <c r="D10" s="26">
        <v>144590</v>
      </c>
      <c r="E10" s="13">
        <f t="shared" si="0"/>
        <v>-210</v>
      </c>
      <c r="F10" s="15">
        <f t="shared" si="1"/>
        <v>-1.4502762430939227E-3</v>
      </c>
      <c r="G10" s="11" t="str">
        <f>IF(ABS(F10)&gt;Assumptions!$B$6,IF(E10&lt;0,"Under Budget - Review","Over Budget - Review"),"Within Range")</f>
        <v>Within Range</v>
      </c>
    </row>
    <row r="11" spans="1:7" x14ac:dyDescent="0.2">
      <c r="A11" s="11" t="s">
        <v>80</v>
      </c>
      <c r="B11" s="11" t="s">
        <v>40</v>
      </c>
      <c r="C11" s="26">
        <v>139200</v>
      </c>
      <c r="D11" s="26">
        <v>128060</v>
      </c>
      <c r="E11" s="13">
        <f t="shared" si="0"/>
        <v>-11140</v>
      </c>
      <c r="F11" s="15">
        <f t="shared" si="1"/>
        <v>-8.0028735632183906E-2</v>
      </c>
      <c r="G11" s="11" t="str">
        <f>IF(ABS(F11)&gt;Assumptions!$B$6,IF(E11&lt;0,"Under Budget - Review","Over Budget - Review"),"Within Range")</f>
        <v>Under Budget - Review</v>
      </c>
    </row>
    <row r="12" spans="1:7" x14ac:dyDescent="0.2">
      <c r="A12" s="11" t="s">
        <v>80</v>
      </c>
      <c r="B12" s="11" t="s">
        <v>42</v>
      </c>
      <c r="C12" s="26">
        <v>137700</v>
      </c>
      <c r="D12" s="26">
        <v>137930</v>
      </c>
      <c r="E12" s="13">
        <f t="shared" si="0"/>
        <v>230</v>
      </c>
      <c r="F12" s="15">
        <f t="shared" si="1"/>
        <v>1.6702977487291213E-3</v>
      </c>
      <c r="G12" s="11" t="str">
        <f>IF(ABS(F12)&gt;Assumptions!$B$6,IF(E12&lt;0,"Under Budget - Review","Over Budget - Review"),"Within Range")</f>
        <v>Within Range</v>
      </c>
    </row>
    <row r="13" spans="1:7" x14ac:dyDescent="0.2">
      <c r="A13" s="11" t="s">
        <v>80</v>
      </c>
      <c r="B13" s="11" t="s">
        <v>43</v>
      </c>
      <c r="C13" s="26">
        <v>147700</v>
      </c>
      <c r="D13" s="26">
        <v>148640</v>
      </c>
      <c r="E13" s="13">
        <f t="shared" si="0"/>
        <v>940</v>
      </c>
      <c r="F13" s="15">
        <f t="shared" si="1"/>
        <v>6.3642518618821937E-3</v>
      </c>
      <c r="G13" s="11" t="str">
        <f>IF(ABS(F13)&gt;Assumptions!$B$6,IF(E13&lt;0,"Under Budget - Review","Over Budget - Review"),"Within Range")</f>
        <v>Within Range</v>
      </c>
    </row>
    <row r="14" spans="1:7" x14ac:dyDescent="0.2">
      <c r="A14" s="11" t="s">
        <v>81</v>
      </c>
      <c r="B14" s="11" t="s">
        <v>28</v>
      </c>
      <c r="C14" s="26">
        <v>112100</v>
      </c>
      <c r="D14" s="26">
        <v>115220</v>
      </c>
      <c r="E14" s="13">
        <f t="shared" si="0"/>
        <v>3120</v>
      </c>
      <c r="F14" s="15">
        <f t="shared" si="1"/>
        <v>2.7832292595896521E-2</v>
      </c>
      <c r="G14" s="11" t="str">
        <f>IF(ABS(F14)&gt;Assumptions!$B$6,IF(E14&lt;0,"Under Budget - Review","Over Budget - Review"),"Within Range")</f>
        <v>Within Range</v>
      </c>
    </row>
    <row r="15" spans="1:7" x14ac:dyDescent="0.2">
      <c r="A15" s="11" t="s">
        <v>81</v>
      </c>
      <c r="B15" s="11" t="s">
        <v>30</v>
      </c>
      <c r="C15" s="26">
        <v>109700</v>
      </c>
      <c r="D15" s="26">
        <v>112520</v>
      </c>
      <c r="E15" s="13">
        <f t="shared" si="0"/>
        <v>2820</v>
      </c>
      <c r="F15" s="15">
        <f t="shared" si="1"/>
        <v>2.5706472196900639E-2</v>
      </c>
      <c r="G15" s="11" t="str">
        <f>IF(ABS(F15)&gt;Assumptions!$B$6,IF(E15&lt;0,"Under Budget - Review","Over Budget - Review"),"Within Range")</f>
        <v>Within Range</v>
      </c>
    </row>
    <row r="16" spans="1:7" x14ac:dyDescent="0.2">
      <c r="A16" s="11" t="s">
        <v>81</v>
      </c>
      <c r="B16" s="11" t="s">
        <v>32</v>
      </c>
      <c r="C16" s="26">
        <v>118000</v>
      </c>
      <c r="D16" s="26">
        <v>119810</v>
      </c>
      <c r="E16" s="13">
        <f t="shared" si="0"/>
        <v>1810</v>
      </c>
      <c r="F16" s="15">
        <f t="shared" si="1"/>
        <v>1.5338983050847457E-2</v>
      </c>
      <c r="G16" s="11" t="str">
        <f>IF(ABS(F16)&gt;Assumptions!$B$6,IF(E16&lt;0,"Under Budget - Review","Over Budget - Review"),"Within Range")</f>
        <v>Within Range</v>
      </c>
    </row>
    <row r="17" spans="1:7" x14ac:dyDescent="0.2">
      <c r="A17" s="11" t="s">
        <v>81</v>
      </c>
      <c r="B17" s="11" t="s">
        <v>34</v>
      </c>
      <c r="C17" s="26">
        <v>119200</v>
      </c>
      <c r="D17" s="26">
        <v>120560</v>
      </c>
      <c r="E17" s="13">
        <f t="shared" si="0"/>
        <v>1360</v>
      </c>
      <c r="F17" s="15">
        <f t="shared" si="1"/>
        <v>1.1409395973154362E-2</v>
      </c>
      <c r="G17" s="11" t="str">
        <f>IF(ABS(F17)&gt;Assumptions!$B$6,IF(E17&lt;0,"Under Budget - Review","Over Budget - Review"),"Within Range")</f>
        <v>Within Range</v>
      </c>
    </row>
    <row r="18" spans="1:7" x14ac:dyDescent="0.2">
      <c r="A18" s="11" t="s">
        <v>81</v>
      </c>
      <c r="B18" s="11" t="s">
        <v>36</v>
      </c>
      <c r="C18" s="26">
        <v>121500</v>
      </c>
      <c r="D18" s="26">
        <v>111780</v>
      </c>
      <c r="E18" s="13">
        <f t="shared" si="0"/>
        <v>-9720</v>
      </c>
      <c r="F18" s="15">
        <f t="shared" si="1"/>
        <v>-0.08</v>
      </c>
      <c r="G18" s="11" t="str">
        <f>IF(ABS(F18)&gt;Assumptions!$B$6,IF(E18&lt;0,"Under Budget - Review","Over Budget - Review"),"Within Range")</f>
        <v>Under Budget - Review</v>
      </c>
    </row>
    <row r="19" spans="1:7" x14ac:dyDescent="0.2">
      <c r="A19" s="11" t="s">
        <v>81</v>
      </c>
      <c r="B19" s="11" t="s">
        <v>38</v>
      </c>
      <c r="C19" s="26">
        <v>120400</v>
      </c>
      <c r="D19" s="26">
        <v>123980</v>
      </c>
      <c r="E19" s="13">
        <f t="shared" si="0"/>
        <v>3580</v>
      </c>
      <c r="F19" s="15">
        <f t="shared" si="1"/>
        <v>2.9734219269102989E-2</v>
      </c>
      <c r="G19" s="11" t="str">
        <f>IF(ABS(F19)&gt;Assumptions!$B$6,IF(E19&lt;0,"Under Budget - Review","Over Budget - Review"),"Within Range")</f>
        <v>Within Range</v>
      </c>
    </row>
    <row r="20" spans="1:7" x14ac:dyDescent="0.2">
      <c r="A20" s="11" t="s">
        <v>81</v>
      </c>
      <c r="B20" s="11" t="s">
        <v>40</v>
      </c>
      <c r="C20" s="26">
        <v>115600</v>
      </c>
      <c r="D20" s="26">
        <v>116640</v>
      </c>
      <c r="E20" s="13">
        <f t="shared" si="0"/>
        <v>1040</v>
      </c>
      <c r="F20" s="15">
        <f t="shared" si="1"/>
        <v>8.996539792387544E-3</v>
      </c>
      <c r="G20" s="11" t="str">
        <f>IF(ABS(F20)&gt;Assumptions!$B$6,IF(E20&lt;0,"Under Budget - Review","Over Budget - Review"),"Within Range")</f>
        <v>Within Range</v>
      </c>
    </row>
    <row r="21" spans="1:7" x14ac:dyDescent="0.2">
      <c r="A21" s="11" t="s">
        <v>81</v>
      </c>
      <c r="B21" s="11" t="s">
        <v>42</v>
      </c>
      <c r="C21" s="26">
        <v>114500</v>
      </c>
      <c r="D21" s="26">
        <v>114070</v>
      </c>
      <c r="E21" s="13">
        <f t="shared" si="0"/>
        <v>-430</v>
      </c>
      <c r="F21" s="15">
        <f t="shared" si="1"/>
        <v>-3.7554585152838427E-3</v>
      </c>
      <c r="G21" s="11" t="str">
        <f>IF(ABS(F21)&gt;Assumptions!$B$6,IF(E21&lt;0,"Under Budget - Review","Over Budget - Review"),"Within Range")</f>
        <v>Within Range</v>
      </c>
    </row>
    <row r="22" spans="1:7" x14ac:dyDescent="0.2">
      <c r="A22" s="11" t="s">
        <v>81</v>
      </c>
      <c r="B22" s="11" t="s">
        <v>43</v>
      </c>
      <c r="C22" s="26">
        <v>122700</v>
      </c>
      <c r="D22" s="26">
        <v>122830</v>
      </c>
      <c r="E22" s="13">
        <f t="shared" si="0"/>
        <v>130</v>
      </c>
      <c r="F22" s="15">
        <f t="shared" si="1"/>
        <v>1.0594947025264873E-3</v>
      </c>
      <c r="G22" s="11" t="str">
        <f>IF(ABS(F22)&gt;Assumptions!$B$6,IF(E22&lt;0,"Under Budget - Review","Over Budget - Review"),"Within Range")</f>
        <v>Within Range</v>
      </c>
    </row>
    <row r="23" spans="1:7" x14ac:dyDescent="0.2">
      <c r="A23" s="11" t="s">
        <v>82</v>
      </c>
      <c r="B23" s="11" t="s">
        <v>28</v>
      </c>
      <c r="C23" s="26">
        <v>43700</v>
      </c>
      <c r="D23" s="26">
        <v>42710</v>
      </c>
      <c r="E23" s="13">
        <f t="shared" si="0"/>
        <v>-990</v>
      </c>
      <c r="F23" s="15">
        <f t="shared" si="1"/>
        <v>-2.2654462242562928E-2</v>
      </c>
      <c r="G23" s="11" t="str">
        <f>IF(ABS(F23)&gt;Assumptions!$B$6,IF(E23&lt;0,"Under Budget - Review","Over Budget - Review"),"Within Range")</f>
        <v>Within Range</v>
      </c>
    </row>
    <row r="24" spans="1:7" x14ac:dyDescent="0.2">
      <c r="A24" s="11" t="s">
        <v>82</v>
      </c>
      <c r="B24" s="11" t="s">
        <v>30</v>
      </c>
      <c r="C24" s="26">
        <v>42800</v>
      </c>
      <c r="D24" s="26">
        <v>39380</v>
      </c>
      <c r="E24" s="13">
        <f t="shared" si="0"/>
        <v>-3420</v>
      </c>
      <c r="F24" s="15">
        <f t="shared" si="1"/>
        <v>-7.9906542056074767E-2</v>
      </c>
      <c r="G24" s="11" t="str">
        <f>IF(ABS(F24)&gt;Assumptions!$B$6,IF(E24&lt;0,"Under Budget - Review","Over Budget - Review"),"Within Range")</f>
        <v>Under Budget - Review</v>
      </c>
    </row>
    <row r="25" spans="1:7" x14ac:dyDescent="0.2">
      <c r="A25" s="11" t="s">
        <v>82</v>
      </c>
      <c r="B25" s="11" t="s">
        <v>32</v>
      </c>
      <c r="C25" s="26">
        <v>46000</v>
      </c>
      <c r="D25" s="26">
        <v>44680</v>
      </c>
      <c r="E25" s="13">
        <f t="shared" si="0"/>
        <v>-1320</v>
      </c>
      <c r="F25" s="15">
        <f t="shared" si="1"/>
        <v>-2.8695652173913042E-2</v>
      </c>
      <c r="G25" s="11" t="str">
        <f>IF(ABS(F25)&gt;Assumptions!$B$6,IF(E25&lt;0,"Under Budget - Review","Over Budget - Review"),"Within Range")</f>
        <v>Within Range</v>
      </c>
    </row>
    <row r="26" spans="1:7" x14ac:dyDescent="0.2">
      <c r="A26" s="11" t="s">
        <v>82</v>
      </c>
      <c r="B26" s="11" t="s">
        <v>34</v>
      </c>
      <c r="C26" s="26">
        <v>46500</v>
      </c>
      <c r="D26" s="26">
        <v>46650</v>
      </c>
      <c r="E26" s="13">
        <f t="shared" si="0"/>
        <v>150</v>
      </c>
      <c r="F26" s="15">
        <f t="shared" si="1"/>
        <v>3.2258064516129032E-3</v>
      </c>
      <c r="G26" s="11" t="str">
        <f>IF(ABS(F26)&gt;Assumptions!$B$6,IF(E26&lt;0,"Under Budget - Review","Over Budget - Review"),"Within Range")</f>
        <v>Within Range</v>
      </c>
    </row>
    <row r="27" spans="1:7" x14ac:dyDescent="0.2">
      <c r="A27" s="11" t="s">
        <v>82</v>
      </c>
      <c r="B27" s="11" t="s">
        <v>36</v>
      </c>
      <c r="C27" s="26">
        <v>47400</v>
      </c>
      <c r="D27" s="26">
        <v>47650</v>
      </c>
      <c r="E27" s="13">
        <f t="shared" si="0"/>
        <v>250</v>
      </c>
      <c r="F27" s="15">
        <f t="shared" si="1"/>
        <v>5.2742616033755272E-3</v>
      </c>
      <c r="G27" s="11" t="str">
        <f>IF(ABS(F27)&gt;Assumptions!$B$6,IF(E27&lt;0,"Under Budget - Review","Over Budget - Review"),"Within Range")</f>
        <v>Within Range</v>
      </c>
    </row>
    <row r="28" spans="1:7" x14ac:dyDescent="0.2">
      <c r="A28" s="11" t="s">
        <v>82</v>
      </c>
      <c r="B28" s="11" t="s">
        <v>38</v>
      </c>
      <c r="C28" s="26">
        <v>46900</v>
      </c>
      <c r="D28" s="26">
        <v>45510</v>
      </c>
      <c r="E28" s="13">
        <f t="shared" si="0"/>
        <v>-1390</v>
      </c>
      <c r="F28" s="15">
        <f t="shared" si="1"/>
        <v>-2.9637526652452027E-2</v>
      </c>
      <c r="G28" s="11" t="str">
        <f>IF(ABS(F28)&gt;Assumptions!$B$6,IF(E28&lt;0,"Under Budget - Review","Over Budget - Review"),"Within Range")</f>
        <v>Within Range</v>
      </c>
    </row>
    <row r="29" spans="1:7" x14ac:dyDescent="0.2">
      <c r="A29" s="11" t="s">
        <v>82</v>
      </c>
      <c r="B29" s="11" t="s">
        <v>40</v>
      </c>
      <c r="C29" s="26">
        <v>45100</v>
      </c>
      <c r="D29" s="26">
        <v>45660</v>
      </c>
      <c r="E29" s="13">
        <f t="shared" si="0"/>
        <v>560</v>
      </c>
      <c r="F29" s="15">
        <f t="shared" si="1"/>
        <v>1.2416851441241685E-2</v>
      </c>
      <c r="G29" s="11" t="str">
        <f>IF(ABS(F29)&gt;Assumptions!$B$6,IF(E29&lt;0,"Under Budget - Review","Over Budget - Review"),"Within Range")</f>
        <v>Within Range</v>
      </c>
    </row>
    <row r="30" spans="1:7" x14ac:dyDescent="0.2">
      <c r="A30" s="11" t="s">
        <v>82</v>
      </c>
      <c r="B30" s="11" t="s">
        <v>42</v>
      </c>
      <c r="C30" s="26">
        <v>44600</v>
      </c>
      <c r="D30" s="26">
        <v>43420</v>
      </c>
      <c r="E30" s="13">
        <f t="shared" si="0"/>
        <v>-1180</v>
      </c>
      <c r="F30" s="15">
        <f t="shared" si="1"/>
        <v>-2.6457399103139014E-2</v>
      </c>
      <c r="G30" s="11" t="str">
        <f>IF(ABS(F30)&gt;Assumptions!$B$6,IF(E30&lt;0,"Under Budget - Review","Over Budget - Review"),"Within Range")</f>
        <v>Within Range</v>
      </c>
    </row>
    <row r="31" spans="1:7" x14ac:dyDescent="0.2">
      <c r="A31" s="11" t="s">
        <v>82</v>
      </c>
      <c r="B31" s="11" t="s">
        <v>43</v>
      </c>
      <c r="C31" s="26">
        <v>47800</v>
      </c>
      <c r="D31" s="26">
        <v>46560</v>
      </c>
      <c r="E31" s="13">
        <f t="shared" si="0"/>
        <v>-1240</v>
      </c>
      <c r="F31" s="15">
        <f t="shared" si="1"/>
        <v>-2.5941422594142258E-2</v>
      </c>
      <c r="G31" s="11" t="str">
        <f>IF(ABS(F31)&gt;Assumptions!$B$6,IF(E31&lt;0,"Under Budget - Review","Over Budget - Review"),"Within Range")</f>
        <v>Within Range</v>
      </c>
    </row>
    <row r="32" spans="1:7" x14ac:dyDescent="0.2">
      <c r="A32" s="11" t="s">
        <v>83</v>
      </c>
      <c r="B32" s="11" t="s">
        <v>28</v>
      </c>
      <c r="C32" s="26">
        <v>29400</v>
      </c>
      <c r="D32" s="26">
        <v>28570</v>
      </c>
      <c r="E32" s="13">
        <f t="shared" si="0"/>
        <v>-830</v>
      </c>
      <c r="F32" s="15">
        <f t="shared" si="1"/>
        <v>-2.8231292517006804E-2</v>
      </c>
      <c r="G32" s="11" t="str">
        <f>IF(ABS(F32)&gt;Assumptions!$B$6,IF(E32&lt;0,"Under Budget - Review","Over Budget - Review"),"Within Range")</f>
        <v>Within Range</v>
      </c>
    </row>
    <row r="33" spans="1:7" x14ac:dyDescent="0.2">
      <c r="A33" s="11" t="s">
        <v>83</v>
      </c>
      <c r="B33" s="11" t="s">
        <v>30</v>
      </c>
      <c r="C33" s="26">
        <v>28800</v>
      </c>
      <c r="D33" s="26">
        <v>28510</v>
      </c>
      <c r="E33" s="13">
        <f t="shared" si="0"/>
        <v>-290</v>
      </c>
      <c r="F33" s="15">
        <f t="shared" si="1"/>
        <v>-1.0069444444444445E-2</v>
      </c>
      <c r="G33" s="11" t="str">
        <f>IF(ABS(F33)&gt;Assumptions!$B$6,IF(E33&lt;0,"Under Budget - Review","Over Budget - Review"),"Within Range")</f>
        <v>Within Range</v>
      </c>
    </row>
    <row r="34" spans="1:7" x14ac:dyDescent="0.2">
      <c r="A34" s="11" t="s">
        <v>83</v>
      </c>
      <c r="B34" s="11" t="s">
        <v>32</v>
      </c>
      <c r="C34" s="26">
        <v>31000</v>
      </c>
      <c r="D34" s="26">
        <v>31030</v>
      </c>
      <c r="E34" s="13">
        <f t="shared" si="0"/>
        <v>30</v>
      </c>
      <c r="F34" s="15">
        <f t="shared" si="1"/>
        <v>9.6774193548387097E-4</v>
      </c>
      <c r="G34" s="11" t="str">
        <f>IF(ABS(F34)&gt;Assumptions!$B$6,IF(E34&lt;0,"Under Budget - Review","Over Budget - Review"),"Within Range")</f>
        <v>Within Range</v>
      </c>
    </row>
    <row r="35" spans="1:7" x14ac:dyDescent="0.2">
      <c r="A35" s="11" t="s">
        <v>83</v>
      </c>
      <c r="B35" s="11" t="s">
        <v>34</v>
      </c>
      <c r="C35" s="26">
        <v>31300</v>
      </c>
      <c r="D35" s="26">
        <v>30880</v>
      </c>
      <c r="E35" s="13">
        <f t="shared" si="0"/>
        <v>-420</v>
      </c>
      <c r="F35" s="15">
        <f t="shared" si="1"/>
        <v>-1.34185303514377E-2</v>
      </c>
      <c r="G35" s="11" t="str">
        <f>IF(ABS(F35)&gt;Assumptions!$B$6,IF(E35&lt;0,"Under Budget - Review","Over Budget - Review"),"Within Range")</f>
        <v>Within Range</v>
      </c>
    </row>
    <row r="36" spans="1:7" x14ac:dyDescent="0.2">
      <c r="A36" s="11" t="s">
        <v>83</v>
      </c>
      <c r="B36" s="11" t="s">
        <v>36</v>
      </c>
      <c r="C36" s="26">
        <v>31900</v>
      </c>
      <c r="D36" s="26">
        <v>31870</v>
      </c>
      <c r="E36" s="13">
        <f t="shared" si="0"/>
        <v>-30</v>
      </c>
      <c r="F36" s="15">
        <f t="shared" si="1"/>
        <v>-9.4043887147335424E-4</v>
      </c>
      <c r="G36" s="11" t="str">
        <f>IF(ABS(F36)&gt;Assumptions!$B$6,IF(E36&lt;0,"Under Budget - Review","Over Budget - Review"),"Within Range")</f>
        <v>Within Range</v>
      </c>
    </row>
    <row r="37" spans="1:7" x14ac:dyDescent="0.2">
      <c r="A37" s="11" t="s">
        <v>83</v>
      </c>
      <c r="B37" s="11" t="s">
        <v>38</v>
      </c>
      <c r="C37" s="26">
        <v>31600</v>
      </c>
      <c r="D37" s="26">
        <v>31670</v>
      </c>
      <c r="E37" s="13">
        <f t="shared" si="0"/>
        <v>70</v>
      </c>
      <c r="F37" s="15">
        <f t="shared" si="1"/>
        <v>2.2151898734177216E-3</v>
      </c>
      <c r="G37" s="11" t="str">
        <f>IF(ABS(F37)&gt;Assumptions!$B$6,IF(E37&lt;0,"Under Budget - Review","Over Budget - Review"),"Within Range")</f>
        <v>Within Range</v>
      </c>
    </row>
    <row r="38" spans="1:7" x14ac:dyDescent="0.2">
      <c r="A38" s="11" t="s">
        <v>83</v>
      </c>
      <c r="B38" s="11" t="s">
        <v>40</v>
      </c>
      <c r="C38" s="26">
        <v>30400</v>
      </c>
      <c r="D38" s="26">
        <v>30810</v>
      </c>
      <c r="E38" s="13">
        <f t="shared" si="0"/>
        <v>410</v>
      </c>
      <c r="F38" s="15">
        <f t="shared" si="1"/>
        <v>1.3486842105263158E-2</v>
      </c>
      <c r="G38" s="11" t="str">
        <f>IF(ABS(F38)&gt;Assumptions!$B$6,IF(E38&lt;0,"Under Budget - Review","Over Budget - Review"),"Within Range")</f>
        <v>Within Range</v>
      </c>
    </row>
    <row r="39" spans="1:7" x14ac:dyDescent="0.2">
      <c r="A39" s="11" t="s">
        <v>83</v>
      </c>
      <c r="B39" s="11" t="s">
        <v>42</v>
      </c>
      <c r="C39" s="26">
        <v>30100</v>
      </c>
      <c r="D39" s="26">
        <v>30790</v>
      </c>
      <c r="E39" s="13">
        <f t="shared" si="0"/>
        <v>690</v>
      </c>
      <c r="F39" s="15">
        <f t="shared" si="1"/>
        <v>2.2923588039867111E-2</v>
      </c>
      <c r="G39" s="11" t="str">
        <f>IF(ABS(F39)&gt;Assumptions!$B$6,IF(E39&lt;0,"Under Budget - Review","Over Budget - Review"),"Within Range")</f>
        <v>Within Range</v>
      </c>
    </row>
    <row r="40" spans="1:7" x14ac:dyDescent="0.2">
      <c r="A40" s="11" t="s">
        <v>83</v>
      </c>
      <c r="B40" s="11" t="s">
        <v>43</v>
      </c>
      <c r="C40" s="26">
        <v>32200</v>
      </c>
      <c r="D40" s="26">
        <v>28980</v>
      </c>
      <c r="E40" s="13">
        <f t="shared" si="0"/>
        <v>-3220</v>
      </c>
      <c r="F40" s="15">
        <f t="shared" si="1"/>
        <v>-0.1</v>
      </c>
      <c r="G40" s="11" t="str">
        <f>IF(ABS(F40)&gt;Assumptions!$B$6,IF(E40&lt;0,"Under Budget - Review","Over Budget - Review"),"Within Range")</f>
        <v>Under Budget - Review</v>
      </c>
    </row>
  </sheetData>
  <autoFilter ref="A4:G40" xr:uid="{00000000-0009-0000-0000-000004000000}"/>
  <mergeCells count="2">
    <mergeCell ref="A1:G1"/>
    <mergeCell ref="A2:G2"/>
  </mergeCells>
  <conditionalFormatting sqref="G5:G40">
    <cfRule type="expression" dxfId="2" priority="2">
      <formula>LEFT(G5,5)="Under"</formula>
    </cfRule>
    <cfRule type="expression" dxfId="1" priority="3">
      <formula>LEFT(G5,4)="Over"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4"/>
  <sheetViews>
    <sheetView showGridLines="0" zoomScaleNormal="100" workbookViewId="0">
      <selection activeCell="E25" sqref="E25"/>
    </sheetView>
  </sheetViews>
  <sheetFormatPr baseColWidth="10" defaultColWidth="8.6640625" defaultRowHeight="16" x14ac:dyDescent="0.2"/>
  <cols>
    <col min="1" max="1" width="11" style="2" customWidth="1"/>
    <col min="2" max="2" width="20" style="2" customWidth="1"/>
    <col min="3" max="3" width="26" style="2" customWidth="1"/>
    <col min="4" max="4" width="16" style="2" customWidth="1"/>
    <col min="5" max="5" width="22" style="2" customWidth="1"/>
    <col min="6" max="6" width="36" style="2" customWidth="1"/>
    <col min="7" max="16384" width="8.6640625" style="2"/>
  </cols>
  <sheetData>
    <row r="1" spans="1:6" ht="20" x14ac:dyDescent="0.2">
      <c r="A1" s="20" t="s">
        <v>84</v>
      </c>
      <c r="B1" s="20"/>
      <c r="C1" s="20"/>
      <c r="D1" s="20"/>
      <c r="E1" s="20"/>
      <c r="F1" s="20"/>
    </row>
    <row r="2" spans="1:6" ht="18" x14ac:dyDescent="0.2">
      <c r="A2" s="6" t="s">
        <v>85</v>
      </c>
      <c r="B2" s="6"/>
      <c r="C2" s="6"/>
      <c r="D2" s="6"/>
      <c r="E2" s="6"/>
      <c r="F2" s="6"/>
    </row>
    <row r="4" spans="1:6" ht="34" x14ac:dyDescent="0.2">
      <c r="A4" s="21" t="s">
        <v>19</v>
      </c>
      <c r="B4" s="21" t="s">
        <v>86</v>
      </c>
      <c r="C4" s="21" t="s">
        <v>87</v>
      </c>
      <c r="D4" s="21" t="s">
        <v>88</v>
      </c>
      <c r="E4" s="21" t="s">
        <v>89</v>
      </c>
      <c r="F4" s="21" t="s">
        <v>69</v>
      </c>
    </row>
    <row r="5" spans="1:6" x14ac:dyDescent="0.2">
      <c r="A5" s="11" t="s">
        <v>28</v>
      </c>
      <c r="B5" s="27">
        <v>3235</v>
      </c>
      <c r="C5" s="27">
        <v>3235</v>
      </c>
      <c r="D5" s="28">
        <f t="shared" ref="D5:D13" si="0">B5-C5</f>
        <v>0</v>
      </c>
      <c r="E5" s="13">
        <f>D5*Assumptions!$B$7</f>
        <v>0</v>
      </c>
      <c r="F5" s="11" t="str">
        <f t="shared" ref="F5:F13" si="1">IF(D5=0,"Reconciled",IF(D5&gt;0,"Permits Not Billed - Investigate","Deductions Exceed Permits - Investigate"))</f>
        <v>Reconciled</v>
      </c>
    </row>
    <row r="6" spans="1:6" x14ac:dyDescent="0.2">
      <c r="A6" s="11" t="s">
        <v>30</v>
      </c>
      <c r="B6" s="27">
        <v>3234</v>
      </c>
      <c r="C6" s="27">
        <v>3234</v>
      </c>
      <c r="D6" s="28">
        <f t="shared" si="0"/>
        <v>0</v>
      </c>
      <c r="E6" s="13">
        <f>D6*Assumptions!$B$7</f>
        <v>0</v>
      </c>
      <c r="F6" s="11" t="str">
        <f t="shared" si="1"/>
        <v>Reconciled</v>
      </c>
    </row>
    <row r="7" spans="1:6" x14ac:dyDescent="0.2">
      <c r="A7" s="11" t="s">
        <v>32</v>
      </c>
      <c r="B7" s="27">
        <v>3221</v>
      </c>
      <c r="C7" s="27">
        <v>3221</v>
      </c>
      <c r="D7" s="28">
        <f t="shared" si="0"/>
        <v>0</v>
      </c>
      <c r="E7" s="13">
        <f>D7*Assumptions!$B$7</f>
        <v>0</v>
      </c>
      <c r="F7" s="11" t="str">
        <f t="shared" si="1"/>
        <v>Reconciled</v>
      </c>
    </row>
    <row r="8" spans="1:6" x14ac:dyDescent="0.2">
      <c r="A8" s="11" t="s">
        <v>34</v>
      </c>
      <c r="B8" s="27">
        <v>3241</v>
      </c>
      <c r="C8" s="27">
        <v>3241</v>
      </c>
      <c r="D8" s="28">
        <f t="shared" si="0"/>
        <v>0</v>
      </c>
      <c r="E8" s="13">
        <f>D8*Assumptions!$B$7</f>
        <v>0</v>
      </c>
      <c r="F8" s="11" t="str">
        <f t="shared" si="1"/>
        <v>Reconciled</v>
      </c>
    </row>
    <row r="9" spans="1:6" x14ac:dyDescent="0.2">
      <c r="A9" s="11" t="s">
        <v>36</v>
      </c>
      <c r="B9" s="27">
        <v>3268</v>
      </c>
      <c r="C9" s="27">
        <v>3260</v>
      </c>
      <c r="D9" s="28">
        <f t="shared" si="0"/>
        <v>8</v>
      </c>
      <c r="E9" s="13">
        <f>D9*Assumptions!$B$7</f>
        <v>760</v>
      </c>
      <c r="F9" s="11" t="str">
        <f t="shared" si="1"/>
        <v>Permits Not Billed - Investigate</v>
      </c>
    </row>
    <row r="10" spans="1:6" x14ac:dyDescent="0.2">
      <c r="A10" s="11" t="s">
        <v>38</v>
      </c>
      <c r="B10" s="27">
        <v>3249</v>
      </c>
      <c r="C10" s="27">
        <v>3249</v>
      </c>
      <c r="D10" s="28">
        <f t="shared" si="0"/>
        <v>0</v>
      </c>
      <c r="E10" s="13">
        <f>D10*Assumptions!$B$7</f>
        <v>0</v>
      </c>
      <c r="F10" s="11" t="str">
        <f t="shared" si="1"/>
        <v>Reconciled</v>
      </c>
    </row>
    <row r="11" spans="1:6" x14ac:dyDescent="0.2">
      <c r="A11" s="11" t="s">
        <v>40</v>
      </c>
      <c r="B11" s="27">
        <v>3231</v>
      </c>
      <c r="C11" s="27">
        <v>3231</v>
      </c>
      <c r="D11" s="28">
        <f t="shared" si="0"/>
        <v>0</v>
      </c>
      <c r="E11" s="13">
        <f>D11*Assumptions!$B$7</f>
        <v>0</v>
      </c>
      <c r="F11" s="11" t="str">
        <f t="shared" si="1"/>
        <v>Reconciled</v>
      </c>
    </row>
    <row r="12" spans="1:6" x14ac:dyDescent="0.2">
      <c r="A12" s="11" t="s">
        <v>42</v>
      </c>
      <c r="B12" s="27">
        <v>3249</v>
      </c>
      <c r="C12" s="27">
        <v>3249</v>
      </c>
      <c r="D12" s="28">
        <f t="shared" si="0"/>
        <v>0</v>
      </c>
      <c r="E12" s="13">
        <f>D12*Assumptions!$B$7</f>
        <v>0</v>
      </c>
      <c r="F12" s="11" t="str">
        <f t="shared" si="1"/>
        <v>Reconciled</v>
      </c>
    </row>
    <row r="13" spans="1:6" x14ac:dyDescent="0.2">
      <c r="A13" s="11" t="s">
        <v>43</v>
      </c>
      <c r="B13" s="27">
        <v>3255</v>
      </c>
      <c r="C13" s="27">
        <v>3250</v>
      </c>
      <c r="D13" s="28">
        <f t="shared" si="0"/>
        <v>5</v>
      </c>
      <c r="E13" s="13">
        <f>D13*Assumptions!$B$7</f>
        <v>475</v>
      </c>
      <c r="F13" s="11" t="str">
        <f t="shared" si="1"/>
        <v>Permits Not Billed - Investigate</v>
      </c>
    </row>
    <row r="14" spans="1:6" x14ac:dyDescent="0.2">
      <c r="A14" s="4" t="s">
        <v>90</v>
      </c>
      <c r="D14" s="29">
        <f>SUM(D5:D13)</f>
        <v>13</v>
      </c>
      <c r="E14" s="30">
        <f>SUM(E5:E13)</f>
        <v>1235</v>
      </c>
    </row>
  </sheetData>
  <mergeCells count="2">
    <mergeCell ref="A1:F1"/>
    <mergeCell ref="A2:F2"/>
  </mergeCells>
  <conditionalFormatting sqref="F5:F13">
    <cfRule type="expression" dxfId="0" priority="2">
      <formula>F5&lt;&gt;"Reconciled"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Dashboard</vt:lpstr>
      <vt:lpstr>Assumptions</vt:lpstr>
      <vt:lpstr>Invoice_Recon</vt:lpstr>
      <vt:lpstr>Budget_vs_Actual</vt:lpstr>
      <vt:lpstr>Employee_Access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Shailanshi Gupta</cp:lastModifiedBy>
  <cp:revision>1</cp:revision>
  <dcterms:created xsi:type="dcterms:W3CDTF">2026-10-21T21:06:45Z</dcterms:created>
  <dcterms:modified xsi:type="dcterms:W3CDTF">2026-10-21T22:33:31Z</dcterms:modified>
  <dc:language>en-US</dc:language>
</cp:coreProperties>
</file>